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dia\Desktop\Hadia MSc thesis\Fire data\"/>
    </mc:Choice>
  </mc:AlternateContent>
  <xr:revisionPtr revIDLastSave="0" documentId="13_ncr:1_{35D033FE-437D-491B-A9A7-DB2C2F846F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rcoal_EN21437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78" i="1"/>
  <c r="AM78" i="1"/>
  <c r="AL79" i="1"/>
  <c r="AM79" i="1"/>
  <c r="AL80" i="1"/>
  <c r="AM80" i="1"/>
  <c r="AL81" i="1"/>
  <c r="AM81" i="1"/>
  <c r="AL82" i="1"/>
  <c r="AM82" i="1"/>
  <c r="AL83" i="1"/>
  <c r="AM83" i="1"/>
  <c r="AL84" i="1"/>
  <c r="AM84" i="1"/>
  <c r="AL85" i="1"/>
  <c r="AM85" i="1"/>
  <c r="AL86" i="1"/>
  <c r="AM86" i="1"/>
  <c r="AL87" i="1"/>
  <c r="AM87" i="1"/>
  <c r="AL88" i="1"/>
  <c r="AM88" i="1"/>
  <c r="AL89" i="1"/>
  <c r="AM89" i="1"/>
  <c r="AL90" i="1"/>
  <c r="AM90" i="1"/>
  <c r="AL91" i="1"/>
  <c r="AM91" i="1"/>
  <c r="AL92" i="1"/>
  <c r="AM92" i="1"/>
  <c r="AL93" i="1"/>
  <c r="AM93" i="1"/>
  <c r="AL94" i="1"/>
  <c r="AM94" i="1"/>
  <c r="AL95" i="1"/>
  <c r="AM95" i="1"/>
  <c r="AL96" i="1"/>
  <c r="AM96" i="1"/>
  <c r="AL97" i="1"/>
  <c r="AM97" i="1"/>
  <c r="AL98" i="1"/>
  <c r="AM98" i="1"/>
  <c r="AL99" i="1"/>
  <c r="AM99" i="1"/>
  <c r="AL100" i="1"/>
  <c r="AM100" i="1"/>
  <c r="AL101" i="1"/>
  <c r="AM101" i="1"/>
  <c r="AL102" i="1"/>
  <c r="AM102" i="1"/>
  <c r="AL103" i="1"/>
  <c r="AM103" i="1"/>
  <c r="AL104" i="1"/>
  <c r="AM104" i="1"/>
  <c r="AL105" i="1"/>
  <c r="AM105" i="1"/>
  <c r="AL106" i="1"/>
  <c r="AM106" i="1"/>
  <c r="AL107" i="1"/>
  <c r="AM107" i="1"/>
  <c r="AL108" i="1"/>
  <c r="AM108" i="1"/>
  <c r="AL109" i="1"/>
  <c r="AM109" i="1"/>
  <c r="AL110" i="1"/>
  <c r="AM110" i="1"/>
  <c r="AL111" i="1"/>
  <c r="AM111" i="1"/>
  <c r="AL112" i="1"/>
  <c r="AM112" i="1"/>
  <c r="AL113" i="1"/>
  <c r="AM113" i="1"/>
  <c r="AL114" i="1"/>
  <c r="AM114" i="1"/>
  <c r="AL115" i="1"/>
  <c r="AM115" i="1"/>
  <c r="AL116" i="1"/>
  <c r="AM116" i="1"/>
  <c r="AL117" i="1"/>
  <c r="AM117" i="1"/>
  <c r="AL118" i="1"/>
  <c r="AM118" i="1"/>
  <c r="AL119" i="1"/>
  <c r="AM119" i="1"/>
  <c r="AL120" i="1"/>
  <c r="AM120" i="1"/>
  <c r="AL121" i="1"/>
  <c r="AM121" i="1"/>
  <c r="AL122" i="1"/>
  <c r="AM122" i="1"/>
  <c r="AL123" i="1"/>
  <c r="AM123" i="1"/>
  <c r="AL124" i="1"/>
  <c r="AM124" i="1"/>
  <c r="AL125" i="1"/>
  <c r="AM125" i="1"/>
  <c r="AL126" i="1"/>
  <c r="AM126" i="1"/>
  <c r="AL127" i="1"/>
  <c r="AM127" i="1"/>
  <c r="AL128" i="1"/>
  <c r="AM128" i="1"/>
  <c r="AL129" i="1"/>
  <c r="AM129" i="1"/>
  <c r="AL130" i="1"/>
  <c r="AM130" i="1"/>
  <c r="AL131" i="1"/>
  <c r="AM131" i="1"/>
  <c r="AL132" i="1"/>
  <c r="AM132" i="1"/>
  <c r="AL133" i="1"/>
  <c r="AM133" i="1"/>
  <c r="AL134" i="1"/>
  <c r="AM134" i="1"/>
  <c r="AL135" i="1"/>
  <c r="AM135" i="1"/>
  <c r="AL136" i="1"/>
  <c r="AM136" i="1"/>
  <c r="AL137" i="1"/>
  <c r="AM137" i="1"/>
  <c r="AL138" i="1"/>
  <c r="AM138" i="1"/>
  <c r="AL139" i="1"/>
  <c r="AM139" i="1"/>
  <c r="AL140" i="1"/>
  <c r="AM140" i="1"/>
  <c r="AL141" i="1"/>
  <c r="AM141" i="1"/>
  <c r="AL142" i="1"/>
  <c r="AM142" i="1"/>
  <c r="AL143" i="1"/>
  <c r="AM143" i="1"/>
  <c r="AL144" i="1"/>
  <c r="AM144" i="1"/>
  <c r="AL145" i="1"/>
  <c r="AM145" i="1"/>
  <c r="AL146" i="1"/>
  <c r="AM146" i="1"/>
  <c r="AL147" i="1"/>
  <c r="AM147" i="1"/>
  <c r="AL148" i="1"/>
  <c r="AM148" i="1"/>
  <c r="AL149" i="1"/>
  <c r="AM149" i="1"/>
  <c r="AM2" i="1"/>
  <c r="AL2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35" i="1"/>
  <c r="AE75" i="1" l="1"/>
  <c r="AE76" i="1"/>
  <c r="AF73" i="1"/>
  <c r="AF74" i="1"/>
  <c r="AF75" i="1"/>
  <c r="AG72" i="1"/>
  <c r="AG73" i="1"/>
  <c r="AG74" i="1"/>
  <c r="AG75" i="1"/>
  <c r="AG76" i="1"/>
  <c r="AH74" i="1"/>
  <c r="AH75" i="1"/>
  <c r="AH76" i="1"/>
  <c r="I27" i="1"/>
  <c r="I28" i="1"/>
  <c r="I29" i="1"/>
  <c r="I30" i="1"/>
  <c r="I31" i="1"/>
  <c r="I32" i="1"/>
  <c r="I33" i="1"/>
  <c r="I34" i="1"/>
  <c r="AE71" i="1"/>
  <c r="AF71" i="1"/>
  <c r="AG71" i="1"/>
  <c r="AH71" i="1"/>
  <c r="AI71" i="1"/>
  <c r="AJ71" i="1"/>
  <c r="AE72" i="1"/>
  <c r="AF72" i="1"/>
  <c r="AH72" i="1"/>
  <c r="AI72" i="1"/>
  <c r="AJ72" i="1"/>
  <c r="AE73" i="1"/>
  <c r="AH73" i="1"/>
  <c r="AI73" i="1"/>
  <c r="AJ73" i="1"/>
  <c r="AI74" i="1"/>
  <c r="AJ74" i="1"/>
  <c r="AI75" i="1"/>
  <c r="AJ75" i="1"/>
  <c r="AF76" i="1"/>
  <c r="AI76" i="1"/>
  <c r="AJ76" i="1"/>
  <c r="AE77" i="1"/>
  <c r="AF77" i="1"/>
  <c r="AG77" i="1"/>
  <c r="AH77" i="1"/>
  <c r="AI77" i="1"/>
  <c r="AJ77" i="1"/>
  <c r="AE78" i="1"/>
  <c r="AF78" i="1"/>
  <c r="AG78" i="1"/>
  <c r="AH78" i="1"/>
  <c r="AI78" i="1"/>
  <c r="AJ78" i="1"/>
  <c r="AE79" i="1"/>
  <c r="AF79" i="1"/>
  <c r="AG79" i="1"/>
  <c r="AH79" i="1"/>
  <c r="AI79" i="1"/>
  <c r="AJ79" i="1"/>
  <c r="AE80" i="1"/>
  <c r="AF80" i="1"/>
  <c r="AG80" i="1"/>
  <c r="AH80" i="1"/>
  <c r="AI80" i="1"/>
  <c r="AJ80" i="1"/>
  <c r="AE81" i="1"/>
  <c r="AF81" i="1"/>
  <c r="AG81" i="1"/>
  <c r="AH81" i="1"/>
  <c r="AI81" i="1"/>
  <c r="AJ81" i="1"/>
  <c r="AE82" i="1"/>
  <c r="AF82" i="1"/>
  <c r="AG82" i="1"/>
  <c r="AH82" i="1"/>
  <c r="AI82" i="1"/>
  <c r="AJ82" i="1"/>
  <c r="AE83" i="1"/>
  <c r="AF83" i="1"/>
  <c r="AG83" i="1"/>
  <c r="AH83" i="1"/>
  <c r="AI83" i="1"/>
  <c r="AJ83" i="1"/>
  <c r="AE84" i="1"/>
  <c r="AF84" i="1"/>
  <c r="AG84" i="1"/>
  <c r="AH84" i="1"/>
  <c r="AI84" i="1"/>
  <c r="AJ84" i="1"/>
  <c r="AE85" i="1"/>
  <c r="AF85" i="1"/>
  <c r="AG85" i="1"/>
  <c r="AH85" i="1"/>
  <c r="AI85" i="1"/>
  <c r="AJ85" i="1"/>
  <c r="AE86" i="1"/>
  <c r="AF86" i="1"/>
  <c r="AG86" i="1"/>
  <c r="AH86" i="1"/>
  <c r="AI86" i="1"/>
  <c r="AJ86" i="1"/>
  <c r="AE87" i="1"/>
  <c r="AF87" i="1"/>
  <c r="AG87" i="1"/>
  <c r="AH87" i="1"/>
  <c r="AI87" i="1"/>
  <c r="AJ87" i="1"/>
  <c r="AE88" i="1"/>
  <c r="AF88" i="1"/>
  <c r="AG88" i="1"/>
  <c r="AH88" i="1"/>
  <c r="AI88" i="1"/>
  <c r="AJ88" i="1"/>
  <c r="AE89" i="1"/>
  <c r="AF89" i="1"/>
  <c r="AG89" i="1"/>
  <c r="AH89" i="1"/>
  <c r="AI89" i="1"/>
  <c r="AJ89" i="1"/>
  <c r="AE90" i="1"/>
  <c r="AF90" i="1"/>
  <c r="AG90" i="1"/>
  <c r="AH90" i="1"/>
  <c r="AI90" i="1"/>
  <c r="AJ90" i="1"/>
  <c r="AE91" i="1"/>
  <c r="AF91" i="1"/>
  <c r="AG91" i="1"/>
  <c r="AH91" i="1"/>
  <c r="AI91" i="1"/>
  <c r="AJ91" i="1"/>
  <c r="AE92" i="1"/>
  <c r="AF92" i="1"/>
  <c r="AG92" i="1"/>
  <c r="AH92" i="1"/>
  <c r="AI92" i="1"/>
  <c r="AJ92" i="1"/>
  <c r="AE93" i="1"/>
  <c r="AF93" i="1"/>
  <c r="AG93" i="1"/>
  <c r="AH93" i="1"/>
  <c r="AI93" i="1"/>
  <c r="AJ93" i="1"/>
  <c r="AE94" i="1"/>
  <c r="AF94" i="1"/>
  <c r="AG94" i="1"/>
  <c r="AH94" i="1"/>
  <c r="AI94" i="1"/>
  <c r="AJ94" i="1"/>
  <c r="AE95" i="1"/>
  <c r="AF95" i="1"/>
  <c r="AG95" i="1"/>
  <c r="AH95" i="1"/>
  <c r="AI95" i="1"/>
  <c r="AJ95" i="1"/>
  <c r="AE96" i="1"/>
  <c r="AF96" i="1"/>
  <c r="AG96" i="1"/>
  <c r="AH96" i="1"/>
  <c r="AI96" i="1"/>
  <c r="AJ96" i="1"/>
  <c r="AE97" i="1"/>
  <c r="AF97" i="1"/>
  <c r="AG97" i="1"/>
  <c r="AH97" i="1"/>
  <c r="AI97" i="1"/>
  <c r="AJ97" i="1"/>
  <c r="AE98" i="1"/>
  <c r="AF98" i="1"/>
  <c r="AG98" i="1"/>
  <c r="AH98" i="1"/>
  <c r="AI98" i="1"/>
  <c r="AJ98" i="1"/>
  <c r="AE99" i="1"/>
  <c r="AF99" i="1"/>
  <c r="AG99" i="1"/>
  <c r="AH99" i="1"/>
  <c r="AI99" i="1"/>
  <c r="AJ99" i="1"/>
  <c r="AE100" i="1"/>
  <c r="AF100" i="1"/>
  <c r="AG100" i="1"/>
  <c r="AH100" i="1"/>
  <c r="AI100" i="1"/>
  <c r="AJ100" i="1"/>
  <c r="AE101" i="1"/>
  <c r="AF101" i="1"/>
  <c r="AG101" i="1"/>
  <c r="AH101" i="1"/>
  <c r="AI101" i="1"/>
  <c r="AJ101" i="1"/>
  <c r="AE102" i="1"/>
  <c r="AF102" i="1"/>
  <c r="AG102" i="1"/>
  <c r="AH102" i="1"/>
  <c r="AI102" i="1"/>
  <c r="AJ102" i="1"/>
  <c r="AE103" i="1"/>
  <c r="AF103" i="1"/>
  <c r="AG103" i="1"/>
  <c r="AH103" i="1"/>
  <c r="AI103" i="1"/>
  <c r="AJ103" i="1"/>
  <c r="AE104" i="1"/>
  <c r="AF104" i="1"/>
  <c r="AG104" i="1"/>
  <c r="AH104" i="1"/>
  <c r="AI104" i="1"/>
  <c r="AJ104" i="1"/>
  <c r="AE105" i="1"/>
  <c r="AF105" i="1"/>
  <c r="AG105" i="1"/>
  <c r="AH105" i="1"/>
  <c r="AI105" i="1"/>
  <c r="AJ105" i="1"/>
  <c r="AE106" i="1"/>
  <c r="AF106" i="1"/>
  <c r="AG106" i="1"/>
  <c r="AH106" i="1"/>
  <c r="AI106" i="1"/>
  <c r="AJ106" i="1"/>
  <c r="AE107" i="1"/>
  <c r="AF107" i="1"/>
  <c r="AG107" i="1"/>
  <c r="AH107" i="1"/>
  <c r="AI107" i="1"/>
  <c r="AJ107" i="1"/>
  <c r="AE108" i="1"/>
  <c r="AF108" i="1"/>
  <c r="AG108" i="1"/>
  <c r="AH108" i="1"/>
  <c r="AI108" i="1"/>
  <c r="AJ108" i="1"/>
  <c r="AE109" i="1"/>
  <c r="AF109" i="1"/>
  <c r="AG109" i="1"/>
  <c r="AH109" i="1"/>
  <c r="AI109" i="1"/>
  <c r="AJ109" i="1"/>
  <c r="AE110" i="1"/>
  <c r="AG110" i="1"/>
  <c r="AH110" i="1"/>
  <c r="AI110" i="1"/>
  <c r="AJ110" i="1"/>
  <c r="AE111" i="1"/>
  <c r="AF111" i="1"/>
  <c r="AG111" i="1"/>
  <c r="AH111" i="1"/>
  <c r="AI111" i="1"/>
  <c r="AJ111" i="1"/>
  <c r="AE112" i="1"/>
  <c r="AF112" i="1"/>
  <c r="AG112" i="1"/>
  <c r="AH112" i="1"/>
  <c r="AI112" i="1"/>
  <c r="AJ112" i="1"/>
  <c r="AE113" i="1"/>
  <c r="AF113" i="1"/>
  <c r="AG113" i="1"/>
  <c r="AH113" i="1"/>
  <c r="AI113" i="1"/>
  <c r="AJ113" i="1"/>
  <c r="AE114" i="1"/>
  <c r="AF114" i="1"/>
  <c r="AG114" i="1"/>
  <c r="AH114" i="1"/>
  <c r="AI114" i="1"/>
  <c r="AJ114" i="1"/>
  <c r="AE115" i="1"/>
  <c r="AF115" i="1"/>
  <c r="AG115" i="1"/>
  <c r="AH115" i="1"/>
  <c r="AI115" i="1"/>
  <c r="AJ115" i="1"/>
  <c r="AE116" i="1"/>
  <c r="AF116" i="1"/>
  <c r="AG116" i="1"/>
  <c r="AH116" i="1"/>
  <c r="AI116" i="1"/>
  <c r="AJ116" i="1"/>
  <c r="AE117" i="1"/>
  <c r="AF117" i="1"/>
  <c r="AG117" i="1"/>
  <c r="AH117" i="1"/>
  <c r="AI117" i="1"/>
  <c r="AJ117" i="1"/>
  <c r="AE118" i="1"/>
  <c r="AF118" i="1"/>
  <c r="AG118" i="1"/>
  <c r="AH118" i="1"/>
  <c r="AI118" i="1"/>
  <c r="AJ118" i="1"/>
  <c r="AE119" i="1"/>
  <c r="AF119" i="1"/>
  <c r="AG119" i="1"/>
  <c r="AH119" i="1"/>
  <c r="AI119" i="1"/>
  <c r="AJ119" i="1"/>
  <c r="AE120" i="1"/>
  <c r="AF120" i="1"/>
  <c r="AG120" i="1"/>
  <c r="AH120" i="1"/>
  <c r="AI120" i="1"/>
  <c r="AJ120" i="1"/>
  <c r="AE121" i="1"/>
  <c r="AF121" i="1"/>
  <c r="AG121" i="1"/>
  <c r="AH121" i="1"/>
  <c r="AI121" i="1"/>
  <c r="AJ121" i="1"/>
  <c r="AE122" i="1"/>
  <c r="AF122" i="1"/>
  <c r="AG122" i="1"/>
  <c r="AH122" i="1"/>
  <c r="AI122" i="1"/>
  <c r="AJ122" i="1"/>
  <c r="AE123" i="1"/>
  <c r="AF123" i="1"/>
  <c r="AG123" i="1"/>
  <c r="AH123" i="1"/>
  <c r="AI123" i="1"/>
  <c r="AJ123" i="1"/>
  <c r="AE124" i="1"/>
  <c r="AF124" i="1"/>
  <c r="AG124" i="1"/>
  <c r="AH124" i="1"/>
  <c r="AI124" i="1"/>
  <c r="AJ124" i="1"/>
  <c r="AE125" i="1"/>
  <c r="AF125" i="1"/>
  <c r="AG125" i="1"/>
  <c r="AH125" i="1"/>
  <c r="AI125" i="1"/>
  <c r="AJ125" i="1"/>
  <c r="AE126" i="1"/>
  <c r="AF126" i="1"/>
  <c r="AG126" i="1"/>
  <c r="AH126" i="1"/>
  <c r="AI126" i="1"/>
  <c r="AJ126" i="1"/>
  <c r="AE127" i="1"/>
  <c r="AF127" i="1"/>
  <c r="AG127" i="1"/>
  <c r="AH127" i="1"/>
  <c r="AI127" i="1"/>
  <c r="AJ127" i="1"/>
  <c r="AE128" i="1"/>
  <c r="AF128" i="1"/>
  <c r="AG128" i="1"/>
  <c r="AH128" i="1"/>
  <c r="AI128" i="1"/>
  <c r="AJ128" i="1"/>
  <c r="AE129" i="1"/>
  <c r="AF129" i="1"/>
  <c r="AG129" i="1"/>
  <c r="AH129" i="1"/>
  <c r="AI129" i="1"/>
  <c r="AJ129" i="1"/>
  <c r="AE130" i="1"/>
  <c r="AF130" i="1"/>
  <c r="AG130" i="1"/>
  <c r="AH130" i="1"/>
  <c r="AI130" i="1"/>
  <c r="AJ130" i="1"/>
  <c r="AE131" i="1"/>
  <c r="AF131" i="1"/>
  <c r="AG131" i="1"/>
  <c r="AH131" i="1"/>
  <c r="AI131" i="1"/>
  <c r="AJ131" i="1"/>
  <c r="AE132" i="1"/>
  <c r="AF132" i="1"/>
  <c r="AG132" i="1"/>
  <c r="AH132" i="1"/>
  <c r="AI132" i="1"/>
  <c r="AJ132" i="1"/>
  <c r="AE133" i="1"/>
  <c r="AF133" i="1"/>
  <c r="AG133" i="1"/>
  <c r="AH133" i="1"/>
  <c r="AI133" i="1"/>
  <c r="AJ133" i="1"/>
  <c r="AE134" i="1"/>
  <c r="AF134" i="1"/>
  <c r="AG134" i="1"/>
  <c r="AH134" i="1"/>
  <c r="AI134" i="1"/>
  <c r="AJ134" i="1"/>
  <c r="AE135" i="1"/>
  <c r="AF135" i="1"/>
  <c r="AG135" i="1"/>
  <c r="AH135" i="1"/>
  <c r="AI135" i="1"/>
  <c r="AJ135" i="1"/>
  <c r="AE136" i="1"/>
  <c r="AF136" i="1"/>
  <c r="AG136" i="1"/>
  <c r="AH136" i="1"/>
  <c r="AI136" i="1"/>
  <c r="AJ136" i="1"/>
  <c r="AE137" i="1"/>
  <c r="AF137" i="1"/>
  <c r="AG137" i="1"/>
  <c r="AH137" i="1"/>
  <c r="AI137" i="1"/>
  <c r="AJ137" i="1"/>
  <c r="AE138" i="1"/>
  <c r="AF138" i="1"/>
  <c r="AG138" i="1"/>
  <c r="AH138" i="1"/>
  <c r="AI138" i="1"/>
  <c r="AJ138" i="1"/>
  <c r="AE139" i="1"/>
  <c r="AF139" i="1"/>
  <c r="AG139" i="1"/>
  <c r="AH139" i="1"/>
  <c r="AI139" i="1"/>
  <c r="AJ139" i="1"/>
  <c r="AE140" i="1"/>
  <c r="AF140" i="1"/>
  <c r="AG140" i="1"/>
  <c r="AH140" i="1"/>
  <c r="AI140" i="1"/>
  <c r="AJ140" i="1"/>
  <c r="AE141" i="1"/>
  <c r="AF141" i="1"/>
  <c r="AG141" i="1"/>
  <c r="AH141" i="1"/>
  <c r="AI141" i="1"/>
  <c r="AJ141" i="1"/>
  <c r="AE142" i="1"/>
  <c r="AF142" i="1"/>
  <c r="AG142" i="1"/>
  <c r="AH142" i="1"/>
  <c r="AI142" i="1"/>
  <c r="AJ142" i="1"/>
  <c r="AE143" i="1"/>
  <c r="AF143" i="1"/>
  <c r="AG143" i="1"/>
  <c r="AH143" i="1"/>
  <c r="AI143" i="1"/>
  <c r="AJ143" i="1"/>
  <c r="AE144" i="1"/>
  <c r="AF144" i="1"/>
  <c r="AG144" i="1"/>
  <c r="AH144" i="1"/>
  <c r="AI144" i="1"/>
  <c r="AJ144" i="1"/>
  <c r="AE145" i="1"/>
  <c r="AF145" i="1"/>
  <c r="AG145" i="1"/>
  <c r="AH145" i="1"/>
  <c r="AI145" i="1"/>
  <c r="AJ145" i="1"/>
  <c r="AE146" i="1"/>
  <c r="AF146" i="1"/>
  <c r="AG146" i="1"/>
  <c r="AH146" i="1"/>
  <c r="AI146" i="1"/>
  <c r="AJ146" i="1"/>
  <c r="AE147" i="1"/>
  <c r="AF147" i="1"/>
  <c r="AG147" i="1"/>
  <c r="AH147" i="1"/>
  <c r="AI147" i="1"/>
  <c r="AJ147" i="1"/>
  <c r="AE49" i="1"/>
  <c r="AF49" i="1"/>
  <c r="AG49" i="1"/>
  <c r="AH49" i="1"/>
  <c r="AI49" i="1"/>
  <c r="AJ49" i="1"/>
  <c r="AE50" i="1"/>
  <c r="AF50" i="1"/>
  <c r="AG50" i="1"/>
  <c r="AH50" i="1"/>
  <c r="AI50" i="1"/>
  <c r="AJ50" i="1"/>
  <c r="AE51" i="1"/>
  <c r="AF51" i="1"/>
  <c r="AG51" i="1"/>
  <c r="AH51" i="1"/>
  <c r="AI51" i="1"/>
  <c r="AJ51" i="1"/>
  <c r="AE52" i="1"/>
  <c r="AF52" i="1"/>
  <c r="AG52" i="1"/>
  <c r="AH52" i="1"/>
  <c r="AI52" i="1"/>
  <c r="AJ52" i="1"/>
  <c r="AE53" i="1"/>
  <c r="AF53" i="1"/>
  <c r="AG53" i="1"/>
  <c r="AH53" i="1"/>
  <c r="AI53" i="1"/>
  <c r="AJ53" i="1"/>
  <c r="AE54" i="1"/>
  <c r="AF54" i="1"/>
  <c r="AG54" i="1"/>
  <c r="AH54" i="1"/>
  <c r="AI54" i="1"/>
  <c r="AJ54" i="1"/>
  <c r="AE55" i="1"/>
  <c r="AF55" i="1"/>
  <c r="AG55" i="1"/>
  <c r="AH55" i="1"/>
  <c r="AI55" i="1"/>
  <c r="AJ55" i="1"/>
  <c r="AE56" i="1"/>
  <c r="AF56" i="1"/>
  <c r="AG56" i="1"/>
  <c r="AH56" i="1"/>
  <c r="AI56" i="1"/>
  <c r="AJ56" i="1"/>
  <c r="AE57" i="1"/>
  <c r="AF57" i="1"/>
  <c r="AG57" i="1"/>
  <c r="AH57" i="1"/>
  <c r="AI57" i="1"/>
  <c r="AJ57" i="1"/>
  <c r="AE58" i="1"/>
  <c r="AF58" i="1"/>
  <c r="AG58" i="1"/>
  <c r="AH58" i="1"/>
  <c r="AI58" i="1"/>
  <c r="AJ58" i="1"/>
  <c r="AE59" i="1"/>
  <c r="AF59" i="1"/>
  <c r="AG59" i="1"/>
  <c r="AH59" i="1"/>
  <c r="AI59" i="1"/>
  <c r="AJ59" i="1"/>
  <c r="AE60" i="1"/>
  <c r="AF60" i="1"/>
  <c r="AG60" i="1"/>
  <c r="AH60" i="1"/>
  <c r="AI60" i="1"/>
  <c r="AJ60" i="1"/>
  <c r="AE61" i="1"/>
  <c r="AF61" i="1"/>
  <c r="AG61" i="1"/>
  <c r="AH61" i="1"/>
  <c r="AI61" i="1"/>
  <c r="AJ61" i="1"/>
  <c r="AE62" i="1"/>
  <c r="AF62" i="1"/>
  <c r="AG62" i="1"/>
  <c r="AH62" i="1"/>
  <c r="AI62" i="1"/>
  <c r="AJ62" i="1"/>
  <c r="AE63" i="1"/>
  <c r="AF63" i="1"/>
  <c r="AG63" i="1"/>
  <c r="AH63" i="1"/>
  <c r="AI63" i="1"/>
  <c r="AJ63" i="1"/>
  <c r="AE64" i="1"/>
  <c r="AF64" i="1"/>
  <c r="AG64" i="1"/>
  <c r="AH64" i="1"/>
  <c r="AI64" i="1"/>
  <c r="AJ64" i="1"/>
  <c r="AE65" i="1"/>
  <c r="AF65" i="1"/>
  <c r="AG65" i="1"/>
  <c r="AH65" i="1"/>
  <c r="AI65" i="1"/>
  <c r="AJ65" i="1"/>
  <c r="AE66" i="1"/>
  <c r="AF66" i="1"/>
  <c r="AG66" i="1"/>
  <c r="AH66" i="1"/>
  <c r="AI66" i="1"/>
  <c r="AJ66" i="1"/>
  <c r="AE67" i="1"/>
  <c r="AF67" i="1"/>
  <c r="AG67" i="1"/>
  <c r="AH67" i="1"/>
  <c r="AI67" i="1"/>
  <c r="AJ67" i="1"/>
  <c r="AE68" i="1"/>
  <c r="AF68" i="1"/>
  <c r="AG68" i="1"/>
  <c r="AH68" i="1"/>
  <c r="AI68" i="1"/>
  <c r="AJ68" i="1"/>
  <c r="AE69" i="1"/>
  <c r="AF69" i="1"/>
  <c r="AG69" i="1"/>
  <c r="AH69" i="1"/>
  <c r="AI69" i="1"/>
  <c r="AJ69" i="1"/>
  <c r="AE70" i="1"/>
  <c r="AF70" i="1"/>
  <c r="AG70" i="1"/>
  <c r="AH70" i="1"/>
  <c r="AI70" i="1"/>
  <c r="AJ70" i="1"/>
  <c r="AE32" i="1"/>
  <c r="AF32" i="1"/>
  <c r="AG32" i="1"/>
  <c r="AH32" i="1"/>
  <c r="AI32" i="1"/>
  <c r="AJ32" i="1"/>
  <c r="AE33" i="1"/>
  <c r="AF33" i="1"/>
  <c r="AG33" i="1"/>
  <c r="AH33" i="1"/>
  <c r="AI33" i="1"/>
  <c r="AJ33" i="1"/>
  <c r="AE34" i="1"/>
  <c r="AF34" i="1"/>
  <c r="AG34" i="1"/>
  <c r="AH34" i="1"/>
  <c r="AI34" i="1"/>
  <c r="AJ34" i="1"/>
  <c r="AE35" i="1"/>
  <c r="AF35" i="1"/>
  <c r="AG35" i="1"/>
  <c r="AH35" i="1"/>
  <c r="AI35" i="1"/>
  <c r="AJ35" i="1"/>
  <c r="AE36" i="1"/>
  <c r="AF36" i="1"/>
  <c r="AG36" i="1"/>
  <c r="AH36" i="1"/>
  <c r="AI36" i="1"/>
  <c r="AJ36" i="1"/>
  <c r="AE37" i="1"/>
  <c r="AF37" i="1"/>
  <c r="AG37" i="1"/>
  <c r="AH37" i="1"/>
  <c r="AI37" i="1"/>
  <c r="AJ37" i="1"/>
  <c r="AE38" i="1"/>
  <c r="AF38" i="1"/>
  <c r="AG38" i="1"/>
  <c r="AH38" i="1"/>
  <c r="AI38" i="1"/>
  <c r="AJ38" i="1"/>
  <c r="AE39" i="1"/>
  <c r="AF39" i="1"/>
  <c r="AG39" i="1"/>
  <c r="AH39" i="1"/>
  <c r="AI39" i="1"/>
  <c r="AJ39" i="1"/>
  <c r="AE40" i="1"/>
  <c r="AF40" i="1"/>
  <c r="AG40" i="1"/>
  <c r="AH40" i="1"/>
  <c r="AI40" i="1"/>
  <c r="AJ40" i="1"/>
  <c r="AE41" i="1"/>
  <c r="AF41" i="1"/>
  <c r="AG41" i="1"/>
  <c r="AH41" i="1"/>
  <c r="AI41" i="1"/>
  <c r="AJ41" i="1"/>
  <c r="AE42" i="1"/>
  <c r="AF42" i="1"/>
  <c r="AG42" i="1"/>
  <c r="AH42" i="1"/>
  <c r="AI42" i="1"/>
  <c r="AJ42" i="1"/>
  <c r="AE43" i="1"/>
  <c r="AF43" i="1"/>
  <c r="AG43" i="1"/>
  <c r="AH43" i="1"/>
  <c r="AI43" i="1"/>
  <c r="AJ43" i="1"/>
  <c r="AE44" i="1"/>
  <c r="AF44" i="1"/>
  <c r="AG44" i="1"/>
  <c r="AH44" i="1"/>
  <c r="AI44" i="1"/>
  <c r="AJ44" i="1"/>
  <c r="AE45" i="1"/>
  <c r="AF45" i="1"/>
  <c r="AG45" i="1"/>
  <c r="AH45" i="1"/>
  <c r="AI45" i="1"/>
  <c r="AJ45" i="1"/>
  <c r="AE46" i="1"/>
  <c r="AF46" i="1"/>
  <c r="AG46" i="1"/>
  <c r="AH46" i="1"/>
  <c r="AI46" i="1"/>
  <c r="AJ46" i="1"/>
  <c r="AE47" i="1"/>
  <c r="AF47" i="1"/>
  <c r="AG47" i="1"/>
  <c r="AH47" i="1"/>
  <c r="AI47" i="1"/>
  <c r="AJ47" i="1"/>
  <c r="AE48" i="1"/>
  <c r="AF48" i="1"/>
  <c r="AG48" i="1"/>
  <c r="AH48" i="1"/>
  <c r="AI48" i="1"/>
  <c r="AJ48" i="1"/>
  <c r="AJ20" i="1"/>
  <c r="AI19" i="1"/>
  <c r="AI20" i="1"/>
  <c r="AH19" i="1"/>
  <c r="AH20" i="1"/>
  <c r="AG19" i="1"/>
  <c r="AG20" i="1"/>
  <c r="AF19" i="1"/>
  <c r="AF20" i="1"/>
  <c r="AE19" i="1"/>
  <c r="AE20" i="1"/>
  <c r="I19" i="1"/>
  <c r="I20" i="1"/>
  <c r="AJ31" i="1"/>
  <c r="AI31" i="1"/>
  <c r="AH31" i="1"/>
  <c r="AG31" i="1"/>
  <c r="AF31" i="1"/>
  <c r="AE31" i="1"/>
  <c r="AJ30" i="1"/>
  <c r="AI30" i="1"/>
  <c r="AH30" i="1"/>
  <c r="AG30" i="1"/>
  <c r="AF30" i="1"/>
  <c r="AE30" i="1"/>
  <c r="AJ29" i="1"/>
  <c r="AI29" i="1"/>
  <c r="AH29" i="1"/>
  <c r="AG29" i="1"/>
  <c r="AF29" i="1"/>
  <c r="AE29" i="1"/>
  <c r="AJ28" i="1"/>
  <c r="AI28" i="1"/>
  <c r="AH28" i="1"/>
  <c r="AG28" i="1"/>
  <c r="AF28" i="1"/>
  <c r="AE28" i="1"/>
  <c r="AJ27" i="1"/>
  <c r="AI27" i="1"/>
  <c r="AH27" i="1"/>
  <c r="AG27" i="1"/>
  <c r="AF27" i="1"/>
  <c r="AE27" i="1"/>
  <c r="AJ26" i="1"/>
  <c r="AI26" i="1"/>
  <c r="AH26" i="1"/>
  <c r="AG26" i="1"/>
  <c r="AF26" i="1"/>
  <c r="AE26" i="1"/>
  <c r="AJ25" i="1"/>
  <c r="AI25" i="1"/>
  <c r="AH25" i="1"/>
  <c r="AG25" i="1"/>
  <c r="AF25" i="1"/>
  <c r="AE25" i="1"/>
  <c r="AJ24" i="1"/>
  <c r="AI24" i="1"/>
  <c r="AH24" i="1"/>
  <c r="AG24" i="1"/>
  <c r="AF24" i="1"/>
  <c r="AE24" i="1"/>
  <c r="AJ23" i="1"/>
  <c r="AI23" i="1"/>
  <c r="AH23" i="1"/>
  <c r="AG23" i="1"/>
  <c r="AF23" i="1"/>
  <c r="AE23" i="1"/>
  <c r="AJ22" i="1"/>
  <c r="AI22" i="1"/>
  <c r="AH22" i="1"/>
  <c r="AG22" i="1"/>
  <c r="AF22" i="1"/>
  <c r="AE22" i="1"/>
  <c r="AJ21" i="1"/>
  <c r="AI21" i="1"/>
  <c r="AH21" i="1"/>
  <c r="AG21" i="1"/>
  <c r="AF21" i="1"/>
  <c r="AE21" i="1"/>
  <c r="AJ19" i="1"/>
  <c r="AJ18" i="1"/>
  <c r="AI18" i="1"/>
  <c r="AH18" i="1"/>
  <c r="AG18" i="1"/>
  <c r="AF18" i="1"/>
  <c r="AE18" i="1"/>
  <c r="AJ17" i="1"/>
  <c r="AI17" i="1"/>
  <c r="AH17" i="1"/>
  <c r="AG17" i="1"/>
  <c r="AF17" i="1"/>
  <c r="AE17" i="1"/>
  <c r="AJ16" i="1"/>
  <c r="AI16" i="1"/>
  <c r="AH16" i="1"/>
  <c r="AG16" i="1"/>
  <c r="AF16" i="1"/>
  <c r="AE16" i="1"/>
  <c r="AJ15" i="1"/>
  <c r="AI15" i="1"/>
  <c r="AH15" i="1"/>
  <c r="AG15" i="1"/>
  <c r="AF15" i="1"/>
  <c r="AE15" i="1"/>
  <c r="AJ14" i="1"/>
  <c r="AI14" i="1"/>
  <c r="AH14" i="1"/>
  <c r="AG14" i="1"/>
  <c r="AF14" i="1"/>
  <c r="AE14" i="1"/>
  <c r="AJ13" i="1"/>
  <c r="AI13" i="1"/>
  <c r="AH13" i="1"/>
  <c r="AG13" i="1"/>
  <c r="AF13" i="1"/>
  <c r="AE13" i="1"/>
  <c r="AJ12" i="1"/>
  <c r="AI12" i="1"/>
  <c r="AH12" i="1"/>
  <c r="AG12" i="1"/>
  <c r="AF12" i="1"/>
  <c r="AE12" i="1"/>
  <c r="AJ11" i="1"/>
  <c r="AI11" i="1"/>
  <c r="AH11" i="1"/>
  <c r="AG11" i="1"/>
  <c r="AF11" i="1"/>
  <c r="AE11" i="1"/>
  <c r="AJ10" i="1"/>
  <c r="AI10" i="1"/>
  <c r="AH10" i="1"/>
  <c r="AG10" i="1"/>
  <c r="AF10" i="1"/>
  <c r="AE10" i="1"/>
  <c r="AJ9" i="1"/>
  <c r="AI9" i="1"/>
  <c r="AH9" i="1"/>
  <c r="AG9" i="1"/>
  <c r="AF9" i="1"/>
  <c r="AE9" i="1"/>
  <c r="AJ8" i="1"/>
  <c r="AI8" i="1"/>
  <c r="AH8" i="1"/>
  <c r="AG8" i="1"/>
  <c r="AF8" i="1"/>
  <c r="AE8" i="1"/>
  <c r="AJ7" i="1"/>
  <c r="AI7" i="1"/>
  <c r="AH7" i="1"/>
  <c r="AG7" i="1"/>
  <c r="AF7" i="1"/>
  <c r="AE7" i="1"/>
  <c r="AJ6" i="1"/>
  <c r="AI6" i="1"/>
  <c r="AH6" i="1"/>
  <c r="AG6" i="1"/>
  <c r="AF6" i="1"/>
  <c r="AE6" i="1"/>
  <c r="AJ5" i="1"/>
  <c r="AI5" i="1"/>
  <c r="AH5" i="1"/>
  <c r="AG5" i="1"/>
  <c r="AF5" i="1"/>
  <c r="AE5" i="1"/>
  <c r="AJ4" i="1"/>
  <c r="AI4" i="1"/>
  <c r="AH4" i="1"/>
  <c r="AG4" i="1"/>
  <c r="AF4" i="1"/>
  <c r="AE4" i="1"/>
  <c r="AJ3" i="1"/>
  <c r="AI3" i="1"/>
  <c r="AH3" i="1"/>
  <c r="AG3" i="1"/>
  <c r="AF3" i="1"/>
  <c r="AE3" i="1"/>
  <c r="AJ2" i="1"/>
  <c r="AI2" i="1"/>
  <c r="AH2" i="1"/>
  <c r="AG2" i="1"/>
  <c r="AF2" i="1"/>
  <c r="AE2" i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<sst xmlns="http://schemas.openxmlformats.org/spreadsheetml/2006/main" count="222" uniqueCount="68">
  <si>
    <t>age_top</t>
  </si>
  <si>
    <t>age_bot</t>
  </si>
  <si>
    <t>typeM_S</t>
  </si>
  <si>
    <t>typeM_M</t>
  </si>
  <si>
    <t>typeM_L</t>
  </si>
  <si>
    <t>typeP_S</t>
  </si>
  <si>
    <t>typeP_M</t>
  </si>
  <si>
    <t>typeP_L</t>
  </si>
  <si>
    <t>typeS_S</t>
  </si>
  <si>
    <t>typeS_M</t>
  </si>
  <si>
    <t>typeS_L</t>
  </si>
  <si>
    <t>typeB_S</t>
  </si>
  <si>
    <t>typeB_M</t>
  </si>
  <si>
    <t>typeB_L</t>
  </si>
  <si>
    <t>typeC_S</t>
  </si>
  <si>
    <t>typeC_M</t>
  </si>
  <si>
    <t>typeC_L</t>
  </si>
  <si>
    <t>typeD_S</t>
  </si>
  <si>
    <t>typeD_M</t>
  </si>
  <si>
    <t>typeD_L</t>
  </si>
  <si>
    <t>typeF_S</t>
  </si>
  <si>
    <t>typeF_M</t>
  </si>
  <si>
    <t>typeF_L</t>
  </si>
  <si>
    <t>core_segment_ID</t>
  </si>
  <si>
    <t>YC_depth_top</t>
  </si>
  <si>
    <t>YC_depth_bot</t>
  </si>
  <si>
    <t>comp_depth_top</t>
  </si>
  <si>
    <t>comp_depth_bot</t>
  </si>
  <si>
    <t>volume</t>
  </si>
  <si>
    <t>charcoal_sum</t>
  </si>
  <si>
    <t>sum_S</t>
  </si>
  <si>
    <t>sum_M</t>
  </si>
  <si>
    <t>sum_L</t>
  </si>
  <si>
    <t>sum_ANG</t>
  </si>
  <si>
    <t>sum_ELO</t>
  </si>
  <si>
    <t>sum_IRR</t>
  </si>
  <si>
    <t>Kisi-02-1_60-160</t>
  </si>
  <si>
    <t>Kisi-02-1_160-190.5</t>
  </si>
  <si>
    <t>Kisi-02-2_250-350</t>
  </si>
  <si>
    <t>Kisi-02-2_350-413</t>
  </si>
  <si>
    <t>Kisi-02-3_400-500</t>
  </si>
  <si>
    <t>Kisi-02-3_500-590</t>
  </si>
  <si>
    <t>Kisi-02-4_550-650</t>
  </si>
  <si>
    <t>Kisi-02-4_650-740</t>
  </si>
  <si>
    <t>Kisi-01-1_0-100</t>
  </si>
  <si>
    <t xml:space="preserve">  157,5</t>
  </si>
  <si>
    <t xml:space="preserve">  162,5</t>
  </si>
  <si>
    <t xml:space="preserve"> </t>
  </si>
  <si>
    <t xml:space="preserve">  167,5</t>
  </si>
  <si>
    <t xml:space="preserve">  172,5</t>
  </si>
  <si>
    <t xml:space="preserve">  177,5</t>
  </si>
  <si>
    <t xml:space="preserve">  182,5</t>
  </si>
  <si>
    <t xml:space="preserve">  187,5</t>
  </si>
  <si>
    <t xml:space="preserve">  192,5</t>
  </si>
  <si>
    <t xml:space="preserve">  197,5</t>
  </si>
  <si>
    <t xml:space="preserve">  202,5</t>
  </si>
  <si>
    <t xml:space="preserve">  207,5</t>
  </si>
  <si>
    <t xml:space="preserve">  212,5</t>
  </si>
  <si>
    <t xml:space="preserve">  217,5</t>
  </si>
  <si>
    <t xml:space="preserve">  222,5</t>
  </si>
  <si>
    <t xml:space="preserve">  227,5</t>
  </si>
  <si>
    <t xml:space="preserve">  232,5</t>
  </si>
  <si>
    <t xml:space="preserve">  237,5</t>
  </si>
  <si>
    <t xml:space="preserve">  242,5</t>
  </si>
  <si>
    <t>Kisi-02-5_750-850</t>
  </si>
  <si>
    <t>sum_S_rel</t>
  </si>
  <si>
    <t>sum_M_rel</t>
  </si>
  <si>
    <t>sum_L_rel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</si>
</sst>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0" fontId="0" fillId="0" borderId="0" xfId="0" applyFill="1"/>
    <xf numFmtId="0" fontId="0" fillId="33" borderId="0" xfId="0" applyFill="1"/>
    <xf numFmtId="0" fontId="0" fillId="0" borderId="0" xfId="0" applyBorder="1"/>
    <xf numFmtId="0" fontId="0" fillId="0" borderId="0" xfId="0" applyAlignment="1">
      <alignment horizontal="left" indent="7"/>
    </xf>
    <xf numFmtId="0" fontId="0" fillId="34" borderId="0" xfId="0" applyFill="1"/>
    <xf numFmtId="0" fontId="0" fillId="34" borderId="13" xfId="0" applyFill="1" applyBorder="1"/>
    <xf numFmtId="0" fontId="0" fillId="34" borderId="0" xfId="0" applyFill="1" applyBorder="1"/>
    <xf numFmtId="0" fontId="0" fillId="34" borderId="14" xfId="0" applyFill="1" applyBorder="1"/>
    <xf numFmtId="0" fontId="0" fillId="0" borderId="0" xfId="42" applyNumberFormat="1" applyFont="1"/>
    <xf numFmtId="0" fontId="0" fillId="0" borderId="15" xfId="0" applyBorder="1"/>
    <xf numFmtId="0" fontId="0" fillId="0" borderId="16" xfId="0" applyFill="1" applyBorder="1"/>
    <xf numFmtId="0" fontId="0" fillId="0" borderId="17" xfId="0" applyBorder="1"/>
    <xf numFmtId="0" fontId="0" fillId="35" borderId="0" xfId="0" applyFill="1"/>
    <xf numFmtId="0" fontId="0" fillId="35" borderId="10" xfId="0" applyFill="1" applyBorder="1"/>
    <xf numFmtId="0" fontId="0" fillId="35" borderId="11" xfId="0" applyFill="1" applyBorder="1"/>
    <xf numFmtId="0" fontId="0" fillId="35" borderId="12" xfId="0" applyFill="1" applyBorder="1"/>
    <xf numFmtId="0" fontId="0" fillId="35" borderId="0" xfId="0" applyFill="1" applyBorder="1"/>
    <xf numFmtId="0" fontId="0" fillId="36" borderId="0" xfId="0" applyFill="1"/>
    <xf numFmtId="0" fontId="0" fillId="36" borderId="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50"/>
  <sheetViews>
    <sheetView tabSelected="1" topLeftCell="Q113" zoomScaleNormal="100" workbookViewId="0">
      <selection sqref="A1:AM149"/>
    </sheetView>
  </sheetViews>
  <sheetFormatPr defaultColWidth="11.42578125" defaultRowHeight="15" x14ac:dyDescent="0.25"/>
  <cols>
    <col min="1" max="1" width="18.28515625" customWidth="1"/>
    <col min="2" max="3" width="12.5703125" bestFit="1" customWidth="1"/>
    <col min="4" max="5" width="15" bestFit="1" customWidth="1"/>
    <col min="9" max="9" width="12.28515625" bestFit="1" customWidth="1"/>
  </cols>
  <sheetData>
    <row r="1" spans="1:39" s="16" customFormat="1" ht="15.75" thickBot="1" x14ac:dyDescent="0.3">
      <c r="A1" s="16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0</v>
      </c>
      <c r="G1" s="16" t="s">
        <v>1</v>
      </c>
      <c r="H1" s="16" t="s">
        <v>28</v>
      </c>
      <c r="I1" s="16" t="s">
        <v>29</v>
      </c>
      <c r="J1" s="17" t="s">
        <v>2</v>
      </c>
      <c r="K1" s="18" t="s">
        <v>3</v>
      </c>
      <c r="L1" s="19" t="s">
        <v>4</v>
      </c>
      <c r="M1" s="17" t="s">
        <v>5</v>
      </c>
      <c r="N1" s="18" t="s">
        <v>6</v>
      </c>
      <c r="O1" s="19" t="s">
        <v>7</v>
      </c>
      <c r="P1" s="17" t="s">
        <v>8</v>
      </c>
      <c r="Q1" s="18" t="s">
        <v>9</v>
      </c>
      <c r="R1" s="19" t="s">
        <v>10</v>
      </c>
      <c r="S1" s="17" t="s">
        <v>11</v>
      </c>
      <c r="T1" s="18" t="s">
        <v>12</v>
      </c>
      <c r="U1" s="19" t="s">
        <v>13</v>
      </c>
      <c r="V1" s="17" t="s">
        <v>14</v>
      </c>
      <c r="W1" s="18" t="s">
        <v>15</v>
      </c>
      <c r="X1" s="19" t="s">
        <v>16</v>
      </c>
      <c r="Y1" s="17" t="s">
        <v>17</v>
      </c>
      <c r="Z1" s="18" t="s">
        <v>18</v>
      </c>
      <c r="AA1" s="19" t="s">
        <v>19</v>
      </c>
      <c r="AB1" s="17" t="s">
        <v>20</v>
      </c>
      <c r="AC1" s="18" t="s">
        <v>21</v>
      </c>
      <c r="AD1" s="19" t="s">
        <v>22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16" t="s">
        <v>65</v>
      </c>
      <c r="AL1" s="16" t="s">
        <v>66</v>
      </c>
      <c r="AM1" s="16" t="s">
        <v>67</v>
      </c>
    </row>
    <row r="2" spans="1:39" x14ac:dyDescent="0.25">
      <c r="A2" t="s">
        <v>44</v>
      </c>
      <c r="B2">
        <v>3</v>
      </c>
      <c r="C2">
        <v>5</v>
      </c>
      <c r="D2">
        <v>0</v>
      </c>
      <c r="E2">
        <v>2</v>
      </c>
      <c r="F2">
        <v>-72</v>
      </c>
      <c r="G2">
        <v>-43</v>
      </c>
      <c r="H2" s="4">
        <v>1</v>
      </c>
      <c r="I2" s="4">
        <f t="shared" ref="I2:I34" si="0">SUM(J2:AD2)</f>
        <v>5</v>
      </c>
      <c r="J2" s="1">
        <v>0</v>
      </c>
      <c r="K2" s="3">
        <v>0</v>
      </c>
      <c r="L2" s="2">
        <v>0</v>
      </c>
      <c r="M2" s="1">
        <v>0</v>
      </c>
      <c r="N2" s="3">
        <v>0</v>
      </c>
      <c r="O2" s="2">
        <v>1</v>
      </c>
      <c r="P2" s="1">
        <v>1</v>
      </c>
      <c r="Q2" s="3">
        <v>0</v>
      </c>
      <c r="R2" s="2">
        <v>0</v>
      </c>
      <c r="S2" s="1">
        <v>0</v>
      </c>
      <c r="T2" s="3">
        <v>0</v>
      </c>
      <c r="U2" s="2">
        <v>0</v>
      </c>
      <c r="V2" s="1">
        <v>0</v>
      </c>
      <c r="W2" s="3">
        <v>0</v>
      </c>
      <c r="X2" s="2">
        <v>0</v>
      </c>
      <c r="Y2" s="1">
        <v>0</v>
      </c>
      <c r="Z2" s="3">
        <v>0</v>
      </c>
      <c r="AA2" s="2">
        <v>1</v>
      </c>
      <c r="AB2" s="1">
        <v>2</v>
      </c>
      <c r="AC2" s="3">
        <v>0</v>
      </c>
      <c r="AD2" s="2">
        <v>0</v>
      </c>
      <c r="AE2">
        <f t="shared" ref="AE2:AG28" si="1">SUM(J2,M2,P2,S2,V2,Y2,AB2)</f>
        <v>3</v>
      </c>
      <c r="AF2">
        <f t="shared" si="1"/>
        <v>0</v>
      </c>
      <c r="AG2">
        <f t="shared" si="1"/>
        <v>2</v>
      </c>
      <c r="AH2">
        <f t="shared" ref="AH2:AH31" si="2">SUM(P2:X2)</f>
        <v>1</v>
      </c>
      <c r="AI2">
        <f t="shared" ref="AI2:AI31" si="3">SUM(Y2:AD2)</f>
        <v>3</v>
      </c>
      <c r="AJ2">
        <f t="shared" ref="AJ2:AJ31" si="4">SUM(J2:O2)</f>
        <v>1</v>
      </c>
      <c r="AK2">
        <f>(AE2/$I2)*100</f>
        <v>60</v>
      </c>
      <c r="AL2">
        <f>(AF2/$I2)*100</f>
        <v>0</v>
      </c>
      <c r="AM2">
        <f>(AG2/$I2)*100</f>
        <v>40</v>
      </c>
    </row>
    <row r="3" spans="1:39" x14ac:dyDescent="0.25">
      <c r="A3" t="s">
        <v>44</v>
      </c>
      <c r="B3">
        <v>5</v>
      </c>
      <c r="C3">
        <v>10</v>
      </c>
      <c r="D3">
        <v>2</v>
      </c>
      <c r="E3">
        <v>7</v>
      </c>
      <c r="F3">
        <v>-43</v>
      </c>
      <c r="G3">
        <v>27</v>
      </c>
      <c r="H3">
        <v>2.5</v>
      </c>
      <c r="I3" s="4">
        <f t="shared" si="0"/>
        <v>3</v>
      </c>
      <c r="J3" s="1">
        <v>0</v>
      </c>
      <c r="K3" s="3">
        <v>0</v>
      </c>
      <c r="L3" s="2">
        <v>0</v>
      </c>
      <c r="M3" s="1">
        <v>0</v>
      </c>
      <c r="N3" s="3">
        <v>0</v>
      </c>
      <c r="O3" s="2">
        <v>0</v>
      </c>
      <c r="P3" s="1">
        <v>0</v>
      </c>
      <c r="Q3" s="3">
        <v>0</v>
      </c>
      <c r="R3" s="2">
        <v>0</v>
      </c>
      <c r="S3" s="1">
        <v>0</v>
      </c>
      <c r="T3" s="3">
        <v>0</v>
      </c>
      <c r="U3" s="2">
        <v>0</v>
      </c>
      <c r="V3" s="1">
        <v>0</v>
      </c>
      <c r="W3" s="3">
        <v>0</v>
      </c>
      <c r="X3" s="2">
        <v>0</v>
      </c>
      <c r="Y3" s="1">
        <v>0</v>
      </c>
      <c r="Z3" s="3">
        <v>1</v>
      </c>
      <c r="AA3" s="2">
        <v>0</v>
      </c>
      <c r="AB3" s="1">
        <v>1</v>
      </c>
      <c r="AC3" s="3">
        <v>0</v>
      </c>
      <c r="AD3" s="2">
        <v>1</v>
      </c>
      <c r="AE3">
        <f t="shared" si="1"/>
        <v>1</v>
      </c>
      <c r="AF3">
        <f t="shared" si="1"/>
        <v>1</v>
      </c>
      <c r="AG3">
        <f t="shared" si="1"/>
        <v>1</v>
      </c>
      <c r="AH3">
        <f t="shared" si="2"/>
        <v>0</v>
      </c>
      <c r="AI3">
        <f t="shared" si="3"/>
        <v>3</v>
      </c>
      <c r="AJ3">
        <f t="shared" si="4"/>
        <v>0</v>
      </c>
      <c r="AK3">
        <f t="shared" ref="AK3:AK66" si="5">(AE3/I3)*100</f>
        <v>33.333333333333329</v>
      </c>
      <c r="AL3">
        <f t="shared" ref="AL3:AL66" si="6">(AF3/$I3)*100</f>
        <v>33.333333333333329</v>
      </c>
      <c r="AM3">
        <f t="shared" ref="AM3:AM66" si="7">(AG3/$I3)*100</f>
        <v>33.333333333333329</v>
      </c>
    </row>
    <row r="4" spans="1:39" x14ac:dyDescent="0.25">
      <c r="A4" t="s">
        <v>44</v>
      </c>
      <c r="B4">
        <v>10</v>
      </c>
      <c r="C4">
        <v>15</v>
      </c>
      <c r="D4">
        <v>7</v>
      </c>
      <c r="E4">
        <v>12</v>
      </c>
      <c r="F4">
        <v>27</v>
      </c>
      <c r="G4">
        <v>96</v>
      </c>
      <c r="H4">
        <v>2.5</v>
      </c>
      <c r="I4" s="4">
        <f>SUM(J4:AD4)</f>
        <v>3</v>
      </c>
      <c r="J4" s="1">
        <v>0</v>
      </c>
      <c r="K4" s="3">
        <v>0</v>
      </c>
      <c r="L4" s="2">
        <v>0</v>
      </c>
      <c r="M4" s="3">
        <v>0</v>
      </c>
      <c r="N4" s="3">
        <v>0</v>
      </c>
      <c r="O4" s="3">
        <v>0</v>
      </c>
      <c r="P4" s="1">
        <v>0</v>
      </c>
      <c r="Q4" s="3">
        <v>0</v>
      </c>
      <c r="R4" s="2">
        <v>0</v>
      </c>
      <c r="S4" s="1">
        <v>0</v>
      </c>
      <c r="T4" s="3">
        <v>0</v>
      </c>
      <c r="U4" s="2">
        <v>0</v>
      </c>
      <c r="V4" s="1">
        <v>0</v>
      </c>
      <c r="W4" s="3">
        <v>0</v>
      </c>
      <c r="X4" s="2">
        <v>0</v>
      </c>
      <c r="Y4" s="1">
        <v>0</v>
      </c>
      <c r="Z4" s="3">
        <v>0</v>
      </c>
      <c r="AA4" s="2">
        <v>0</v>
      </c>
      <c r="AB4" s="1">
        <v>2</v>
      </c>
      <c r="AC4" s="3">
        <v>0</v>
      </c>
      <c r="AD4" s="2">
        <v>1</v>
      </c>
      <c r="AE4">
        <f t="shared" si="1"/>
        <v>2</v>
      </c>
      <c r="AF4">
        <f t="shared" si="1"/>
        <v>0</v>
      </c>
      <c r="AG4">
        <f t="shared" si="1"/>
        <v>1</v>
      </c>
      <c r="AH4">
        <f t="shared" si="2"/>
        <v>0</v>
      </c>
      <c r="AI4">
        <f t="shared" si="3"/>
        <v>3</v>
      </c>
      <c r="AJ4">
        <f t="shared" si="4"/>
        <v>0</v>
      </c>
      <c r="AK4">
        <f t="shared" si="5"/>
        <v>66.666666666666657</v>
      </c>
      <c r="AL4">
        <f t="shared" si="6"/>
        <v>0</v>
      </c>
      <c r="AM4">
        <f t="shared" si="7"/>
        <v>33.333333333333329</v>
      </c>
    </row>
    <row r="5" spans="1:39" x14ac:dyDescent="0.25">
      <c r="A5" t="s">
        <v>44</v>
      </c>
      <c r="B5">
        <v>15</v>
      </c>
      <c r="C5">
        <v>20</v>
      </c>
      <c r="D5">
        <v>12</v>
      </c>
      <c r="E5">
        <v>17</v>
      </c>
      <c r="F5">
        <v>96</v>
      </c>
      <c r="G5">
        <v>166</v>
      </c>
      <c r="H5">
        <v>2.5</v>
      </c>
      <c r="I5" s="4">
        <f t="shared" si="0"/>
        <v>2</v>
      </c>
      <c r="J5" s="1">
        <v>0</v>
      </c>
      <c r="K5" s="3">
        <v>0</v>
      </c>
      <c r="L5" s="2">
        <v>0</v>
      </c>
      <c r="M5" s="1">
        <v>0</v>
      </c>
      <c r="N5" s="3">
        <v>0</v>
      </c>
      <c r="O5" s="2">
        <v>0</v>
      </c>
      <c r="P5" s="1">
        <v>0</v>
      </c>
      <c r="Q5" s="3">
        <v>0</v>
      </c>
      <c r="R5" s="2">
        <v>0</v>
      </c>
      <c r="S5" s="1">
        <v>0</v>
      </c>
      <c r="T5" s="3">
        <v>0</v>
      </c>
      <c r="U5" s="2">
        <v>1</v>
      </c>
      <c r="V5" s="1">
        <v>0</v>
      </c>
      <c r="W5" s="3">
        <v>0</v>
      </c>
      <c r="X5" s="2">
        <v>0</v>
      </c>
      <c r="Y5" s="1">
        <v>0</v>
      </c>
      <c r="Z5" s="3">
        <v>0</v>
      </c>
      <c r="AA5" s="2">
        <v>0</v>
      </c>
      <c r="AB5" s="1">
        <v>1</v>
      </c>
      <c r="AC5" s="3">
        <v>0</v>
      </c>
      <c r="AD5" s="2">
        <v>0</v>
      </c>
      <c r="AE5">
        <f t="shared" si="1"/>
        <v>1</v>
      </c>
      <c r="AF5">
        <f t="shared" si="1"/>
        <v>0</v>
      </c>
      <c r="AG5">
        <f t="shared" si="1"/>
        <v>1</v>
      </c>
      <c r="AH5">
        <f t="shared" si="2"/>
        <v>1</v>
      </c>
      <c r="AI5">
        <f t="shared" si="3"/>
        <v>1</v>
      </c>
      <c r="AJ5">
        <f t="shared" si="4"/>
        <v>0</v>
      </c>
      <c r="AK5">
        <f t="shared" si="5"/>
        <v>50</v>
      </c>
      <c r="AL5">
        <f t="shared" si="6"/>
        <v>0</v>
      </c>
      <c r="AM5">
        <f t="shared" si="7"/>
        <v>50</v>
      </c>
    </row>
    <row r="6" spans="1:39" x14ac:dyDescent="0.25">
      <c r="A6" t="s">
        <v>44</v>
      </c>
      <c r="B6">
        <v>20</v>
      </c>
      <c r="C6">
        <v>25</v>
      </c>
      <c r="D6">
        <v>17</v>
      </c>
      <c r="E6">
        <v>22</v>
      </c>
      <c r="F6">
        <v>166</v>
      </c>
      <c r="G6">
        <v>248</v>
      </c>
      <c r="H6">
        <v>2.5</v>
      </c>
      <c r="I6" s="4">
        <f t="shared" si="0"/>
        <v>4</v>
      </c>
      <c r="J6" s="1">
        <v>0</v>
      </c>
      <c r="K6" s="3">
        <v>1</v>
      </c>
      <c r="L6" s="2">
        <v>0</v>
      </c>
      <c r="M6" s="1">
        <v>0</v>
      </c>
      <c r="N6" s="3">
        <v>0</v>
      </c>
      <c r="O6" s="2">
        <v>1</v>
      </c>
      <c r="P6" s="1">
        <v>0</v>
      </c>
      <c r="Q6" s="3">
        <v>0</v>
      </c>
      <c r="R6" s="2">
        <v>0</v>
      </c>
      <c r="S6" s="1">
        <v>0</v>
      </c>
      <c r="T6" s="3">
        <v>0</v>
      </c>
      <c r="U6" s="2">
        <v>0</v>
      </c>
      <c r="V6" s="1">
        <v>0</v>
      </c>
      <c r="W6" s="3">
        <v>0</v>
      </c>
      <c r="X6" s="2">
        <v>0</v>
      </c>
      <c r="Y6" s="1">
        <v>0</v>
      </c>
      <c r="Z6" s="3">
        <v>0</v>
      </c>
      <c r="AA6" s="2">
        <v>0</v>
      </c>
      <c r="AB6" s="1">
        <v>2</v>
      </c>
      <c r="AC6" s="3">
        <v>0</v>
      </c>
      <c r="AD6" s="2">
        <v>0</v>
      </c>
      <c r="AE6">
        <f t="shared" si="1"/>
        <v>2</v>
      </c>
      <c r="AF6">
        <f t="shared" si="1"/>
        <v>1</v>
      </c>
      <c r="AG6">
        <f t="shared" si="1"/>
        <v>1</v>
      </c>
      <c r="AH6">
        <f t="shared" si="2"/>
        <v>0</v>
      </c>
      <c r="AI6">
        <f t="shared" si="3"/>
        <v>2</v>
      </c>
      <c r="AJ6">
        <f t="shared" si="4"/>
        <v>2</v>
      </c>
      <c r="AK6">
        <f t="shared" si="5"/>
        <v>50</v>
      </c>
      <c r="AL6">
        <f t="shared" si="6"/>
        <v>25</v>
      </c>
      <c r="AM6">
        <f t="shared" si="7"/>
        <v>25</v>
      </c>
    </row>
    <row r="7" spans="1:39" x14ac:dyDescent="0.25">
      <c r="A7" t="s">
        <v>44</v>
      </c>
      <c r="B7">
        <v>25</v>
      </c>
      <c r="C7">
        <v>30</v>
      </c>
      <c r="D7">
        <v>22</v>
      </c>
      <c r="E7">
        <v>27</v>
      </c>
      <c r="F7">
        <v>248</v>
      </c>
      <c r="G7">
        <v>347</v>
      </c>
      <c r="H7">
        <v>2.5</v>
      </c>
      <c r="I7" s="4">
        <f t="shared" si="0"/>
        <v>5</v>
      </c>
      <c r="J7" s="1">
        <v>0</v>
      </c>
      <c r="K7" s="3">
        <v>0</v>
      </c>
      <c r="L7" s="2">
        <v>0</v>
      </c>
      <c r="M7" s="1">
        <v>0</v>
      </c>
      <c r="N7" s="3">
        <v>1</v>
      </c>
      <c r="O7" s="2">
        <v>0</v>
      </c>
      <c r="P7" s="1">
        <v>0</v>
      </c>
      <c r="Q7" s="3">
        <v>0</v>
      </c>
      <c r="R7" s="2">
        <v>0</v>
      </c>
      <c r="S7" s="1">
        <v>0</v>
      </c>
      <c r="T7" s="3">
        <v>0</v>
      </c>
      <c r="U7" s="2">
        <v>0</v>
      </c>
      <c r="V7" s="1">
        <v>0</v>
      </c>
      <c r="W7" s="3">
        <v>0</v>
      </c>
      <c r="X7" s="2">
        <v>0</v>
      </c>
      <c r="Y7" s="1">
        <v>0</v>
      </c>
      <c r="Z7" s="3">
        <v>0</v>
      </c>
      <c r="AA7" s="2">
        <v>0</v>
      </c>
      <c r="AB7" s="1">
        <v>3</v>
      </c>
      <c r="AC7" s="3">
        <v>0</v>
      </c>
      <c r="AD7" s="2">
        <v>1</v>
      </c>
      <c r="AE7">
        <f t="shared" si="1"/>
        <v>3</v>
      </c>
      <c r="AF7">
        <f t="shared" si="1"/>
        <v>1</v>
      </c>
      <c r="AG7">
        <f t="shared" si="1"/>
        <v>1</v>
      </c>
      <c r="AH7">
        <f t="shared" si="2"/>
        <v>0</v>
      </c>
      <c r="AI7">
        <f t="shared" si="3"/>
        <v>4</v>
      </c>
      <c r="AJ7">
        <f t="shared" si="4"/>
        <v>1</v>
      </c>
      <c r="AK7">
        <f t="shared" si="5"/>
        <v>60</v>
      </c>
      <c r="AL7">
        <f t="shared" si="6"/>
        <v>20</v>
      </c>
      <c r="AM7">
        <f t="shared" si="7"/>
        <v>20</v>
      </c>
    </row>
    <row r="8" spans="1:39" x14ac:dyDescent="0.25">
      <c r="A8" t="s">
        <v>44</v>
      </c>
      <c r="B8">
        <v>30</v>
      </c>
      <c r="C8">
        <v>35</v>
      </c>
      <c r="D8">
        <v>27</v>
      </c>
      <c r="E8">
        <v>32</v>
      </c>
      <c r="F8">
        <v>347</v>
      </c>
      <c r="G8">
        <v>445</v>
      </c>
      <c r="H8">
        <v>2.5</v>
      </c>
      <c r="I8" s="4">
        <f t="shared" si="0"/>
        <v>4</v>
      </c>
      <c r="J8" s="1">
        <v>1</v>
      </c>
      <c r="K8" s="3">
        <v>0</v>
      </c>
      <c r="L8" s="2">
        <v>0</v>
      </c>
      <c r="M8" s="1">
        <v>0</v>
      </c>
      <c r="N8" s="3">
        <v>0</v>
      </c>
      <c r="O8" s="2">
        <v>0</v>
      </c>
      <c r="P8" s="1">
        <v>0</v>
      </c>
      <c r="Q8" s="3">
        <v>0</v>
      </c>
      <c r="R8" s="2">
        <v>1</v>
      </c>
      <c r="S8" s="1">
        <v>0</v>
      </c>
      <c r="T8" s="3">
        <v>0</v>
      </c>
      <c r="U8" s="2">
        <v>0</v>
      </c>
      <c r="V8" s="1">
        <v>0</v>
      </c>
      <c r="W8" s="3">
        <v>0</v>
      </c>
      <c r="X8" s="2">
        <v>0</v>
      </c>
      <c r="Y8" s="1">
        <v>1</v>
      </c>
      <c r="Z8" s="3">
        <v>0</v>
      </c>
      <c r="AA8" s="2">
        <v>1</v>
      </c>
      <c r="AB8" s="1">
        <v>0</v>
      </c>
      <c r="AC8" s="3">
        <v>0</v>
      </c>
      <c r="AD8" s="2">
        <v>0</v>
      </c>
      <c r="AE8">
        <f t="shared" si="1"/>
        <v>2</v>
      </c>
      <c r="AF8">
        <f t="shared" si="1"/>
        <v>0</v>
      </c>
      <c r="AG8">
        <f t="shared" si="1"/>
        <v>2</v>
      </c>
      <c r="AH8">
        <f t="shared" si="2"/>
        <v>1</v>
      </c>
      <c r="AI8">
        <f t="shared" si="3"/>
        <v>2</v>
      </c>
      <c r="AJ8">
        <f t="shared" si="4"/>
        <v>1</v>
      </c>
      <c r="AK8">
        <f t="shared" si="5"/>
        <v>50</v>
      </c>
      <c r="AL8">
        <f t="shared" si="6"/>
        <v>0</v>
      </c>
      <c r="AM8">
        <f t="shared" si="7"/>
        <v>50</v>
      </c>
    </row>
    <row r="9" spans="1:39" x14ac:dyDescent="0.25">
      <c r="A9" t="s">
        <v>44</v>
      </c>
      <c r="B9">
        <v>35</v>
      </c>
      <c r="C9">
        <v>40</v>
      </c>
      <c r="D9">
        <v>32</v>
      </c>
      <c r="E9">
        <v>37</v>
      </c>
      <c r="F9">
        <v>445</v>
      </c>
      <c r="G9">
        <v>542</v>
      </c>
      <c r="H9">
        <v>2.5</v>
      </c>
      <c r="I9" s="4">
        <f t="shared" si="0"/>
        <v>7</v>
      </c>
      <c r="J9" s="1">
        <v>0</v>
      </c>
      <c r="K9" s="3">
        <v>0</v>
      </c>
      <c r="L9" s="2">
        <v>0</v>
      </c>
      <c r="M9" s="1">
        <v>1</v>
      </c>
      <c r="N9" s="3">
        <v>0</v>
      </c>
      <c r="O9" s="2">
        <v>1</v>
      </c>
      <c r="P9" s="1">
        <v>0</v>
      </c>
      <c r="Q9" s="3">
        <v>0</v>
      </c>
      <c r="R9" s="2">
        <v>0</v>
      </c>
      <c r="S9" s="1">
        <v>0</v>
      </c>
      <c r="T9" s="3">
        <v>0</v>
      </c>
      <c r="U9" s="2">
        <v>0</v>
      </c>
      <c r="V9" s="1">
        <v>0</v>
      </c>
      <c r="W9" s="3">
        <v>0</v>
      </c>
      <c r="X9" s="2">
        <v>1</v>
      </c>
      <c r="Y9" s="1">
        <v>0</v>
      </c>
      <c r="Z9" s="3">
        <v>0</v>
      </c>
      <c r="AA9" s="2">
        <v>0</v>
      </c>
      <c r="AB9" s="1">
        <v>1</v>
      </c>
      <c r="AC9" s="3">
        <v>1</v>
      </c>
      <c r="AD9" s="2">
        <v>2</v>
      </c>
      <c r="AE9">
        <f t="shared" si="1"/>
        <v>2</v>
      </c>
      <c r="AF9">
        <f t="shared" si="1"/>
        <v>1</v>
      </c>
      <c r="AG9">
        <f t="shared" si="1"/>
        <v>4</v>
      </c>
      <c r="AH9">
        <f t="shared" si="2"/>
        <v>1</v>
      </c>
      <c r="AI9">
        <f t="shared" si="3"/>
        <v>4</v>
      </c>
      <c r="AJ9">
        <f t="shared" si="4"/>
        <v>2</v>
      </c>
      <c r="AK9">
        <f t="shared" si="5"/>
        <v>28.571428571428569</v>
      </c>
      <c r="AL9">
        <f t="shared" si="6"/>
        <v>14.285714285714285</v>
      </c>
      <c r="AM9">
        <f t="shared" si="7"/>
        <v>57.142857142857139</v>
      </c>
    </row>
    <row r="10" spans="1:39" x14ac:dyDescent="0.25">
      <c r="A10" t="s">
        <v>44</v>
      </c>
      <c r="B10">
        <v>40</v>
      </c>
      <c r="C10">
        <v>45</v>
      </c>
      <c r="D10">
        <v>37</v>
      </c>
      <c r="E10">
        <v>42</v>
      </c>
      <c r="F10">
        <v>542</v>
      </c>
      <c r="G10">
        <v>627</v>
      </c>
      <c r="H10">
        <v>2.5</v>
      </c>
      <c r="I10" s="4">
        <f t="shared" si="0"/>
        <v>4</v>
      </c>
      <c r="J10" s="1">
        <v>0</v>
      </c>
      <c r="K10" s="3">
        <v>0</v>
      </c>
      <c r="L10" s="2">
        <v>0</v>
      </c>
      <c r="M10" s="1">
        <v>0</v>
      </c>
      <c r="N10" s="3">
        <v>0</v>
      </c>
      <c r="O10" s="2">
        <v>0</v>
      </c>
      <c r="P10" s="1">
        <v>0</v>
      </c>
      <c r="Q10" s="3">
        <v>0</v>
      </c>
      <c r="R10" s="2">
        <v>0</v>
      </c>
      <c r="S10" s="1">
        <v>0</v>
      </c>
      <c r="T10" s="3">
        <v>0</v>
      </c>
      <c r="U10" s="2">
        <v>0</v>
      </c>
      <c r="V10" s="1">
        <v>0</v>
      </c>
      <c r="W10" s="3">
        <v>0</v>
      </c>
      <c r="X10" s="2">
        <v>0</v>
      </c>
      <c r="Y10" s="1">
        <v>0</v>
      </c>
      <c r="Z10" s="3">
        <v>0</v>
      </c>
      <c r="AA10" s="2">
        <v>0</v>
      </c>
      <c r="AB10" s="1">
        <v>4</v>
      </c>
      <c r="AC10" s="3">
        <v>0</v>
      </c>
      <c r="AD10" s="2">
        <v>0</v>
      </c>
      <c r="AE10">
        <f t="shared" si="1"/>
        <v>4</v>
      </c>
      <c r="AF10">
        <f t="shared" si="1"/>
        <v>0</v>
      </c>
      <c r="AG10">
        <f t="shared" si="1"/>
        <v>0</v>
      </c>
      <c r="AH10">
        <f t="shared" si="2"/>
        <v>0</v>
      </c>
      <c r="AI10">
        <f t="shared" si="3"/>
        <v>4</v>
      </c>
      <c r="AJ10">
        <f t="shared" si="4"/>
        <v>0</v>
      </c>
      <c r="AK10">
        <f t="shared" si="5"/>
        <v>100</v>
      </c>
      <c r="AL10">
        <f t="shared" si="6"/>
        <v>0</v>
      </c>
      <c r="AM10">
        <f t="shared" si="7"/>
        <v>0</v>
      </c>
    </row>
    <row r="11" spans="1:39" x14ac:dyDescent="0.25">
      <c r="A11" t="s">
        <v>44</v>
      </c>
      <c r="B11">
        <v>45</v>
      </c>
      <c r="C11">
        <v>50</v>
      </c>
      <c r="D11">
        <v>42</v>
      </c>
      <c r="E11">
        <v>47</v>
      </c>
      <c r="F11">
        <v>627</v>
      </c>
      <c r="G11">
        <v>726</v>
      </c>
      <c r="H11">
        <v>2.5</v>
      </c>
      <c r="I11" s="4">
        <f t="shared" si="0"/>
        <v>4</v>
      </c>
      <c r="J11" s="1">
        <v>2</v>
      </c>
      <c r="K11" s="3">
        <v>0</v>
      </c>
      <c r="L11" s="2">
        <v>0</v>
      </c>
      <c r="M11" s="1">
        <v>0</v>
      </c>
      <c r="N11" s="3">
        <v>0</v>
      </c>
      <c r="O11" s="2">
        <v>0</v>
      </c>
      <c r="P11" s="1">
        <v>0</v>
      </c>
      <c r="Q11" s="3">
        <v>0</v>
      </c>
      <c r="R11" s="2">
        <v>0</v>
      </c>
      <c r="S11" s="1">
        <v>0</v>
      </c>
      <c r="T11" s="3">
        <v>0</v>
      </c>
      <c r="U11" s="2">
        <v>0</v>
      </c>
      <c r="V11" s="1">
        <v>0</v>
      </c>
      <c r="W11" s="3">
        <v>0</v>
      </c>
      <c r="X11" s="2">
        <v>0</v>
      </c>
      <c r="Y11" s="1">
        <v>0</v>
      </c>
      <c r="Z11" s="3">
        <v>0</v>
      </c>
      <c r="AA11" s="2">
        <v>0</v>
      </c>
      <c r="AB11" s="1">
        <v>2</v>
      </c>
      <c r="AC11" s="3">
        <v>0</v>
      </c>
      <c r="AD11" s="2">
        <v>0</v>
      </c>
      <c r="AE11">
        <f t="shared" si="1"/>
        <v>4</v>
      </c>
      <c r="AF11">
        <f t="shared" si="1"/>
        <v>0</v>
      </c>
      <c r="AG11">
        <f t="shared" si="1"/>
        <v>0</v>
      </c>
      <c r="AH11">
        <f t="shared" si="2"/>
        <v>0</v>
      </c>
      <c r="AI11">
        <f t="shared" si="3"/>
        <v>2</v>
      </c>
      <c r="AJ11">
        <f t="shared" si="4"/>
        <v>2</v>
      </c>
      <c r="AK11">
        <f t="shared" si="5"/>
        <v>100</v>
      </c>
      <c r="AL11">
        <f t="shared" si="6"/>
        <v>0</v>
      </c>
      <c r="AM11">
        <f t="shared" si="7"/>
        <v>0</v>
      </c>
    </row>
    <row r="12" spans="1:39" x14ac:dyDescent="0.25">
      <c r="A12" t="s">
        <v>44</v>
      </c>
      <c r="B12">
        <v>50</v>
      </c>
      <c r="C12">
        <v>55</v>
      </c>
      <c r="D12">
        <v>47</v>
      </c>
      <c r="E12">
        <v>52</v>
      </c>
      <c r="F12">
        <v>726</v>
      </c>
      <c r="G12">
        <v>824</v>
      </c>
      <c r="H12">
        <v>2.5</v>
      </c>
      <c r="I12" s="4">
        <f t="shared" si="0"/>
        <v>0</v>
      </c>
      <c r="J12" s="1">
        <v>0</v>
      </c>
      <c r="K12" s="3">
        <v>0</v>
      </c>
      <c r="L12" s="2">
        <v>0</v>
      </c>
      <c r="M12" s="1">
        <v>0</v>
      </c>
      <c r="N12" s="3">
        <v>0</v>
      </c>
      <c r="O12" s="2">
        <v>0</v>
      </c>
      <c r="P12" s="1">
        <v>0</v>
      </c>
      <c r="Q12" s="3">
        <v>0</v>
      </c>
      <c r="R12" s="2">
        <v>0</v>
      </c>
      <c r="S12" s="1">
        <v>0</v>
      </c>
      <c r="T12" s="3">
        <v>0</v>
      </c>
      <c r="U12" s="2">
        <v>0</v>
      </c>
      <c r="V12" s="1">
        <v>0</v>
      </c>
      <c r="W12" s="3">
        <v>0</v>
      </c>
      <c r="X12" s="2">
        <v>0</v>
      </c>
      <c r="Y12" s="1">
        <v>0</v>
      </c>
      <c r="Z12" s="3">
        <v>0</v>
      </c>
      <c r="AA12" s="2">
        <v>0</v>
      </c>
      <c r="AB12" s="1">
        <v>0</v>
      </c>
      <c r="AC12" s="3">
        <v>0</v>
      </c>
      <c r="AD12" s="2">
        <v>0</v>
      </c>
      <c r="AE12">
        <f t="shared" si="1"/>
        <v>0</v>
      </c>
      <c r="AF12">
        <f t="shared" si="1"/>
        <v>0</v>
      </c>
      <c r="AG12">
        <f t="shared" si="1"/>
        <v>0</v>
      </c>
      <c r="AH12">
        <f t="shared" si="2"/>
        <v>0</v>
      </c>
      <c r="AI12">
        <f t="shared" si="3"/>
        <v>0</v>
      </c>
      <c r="AJ12">
        <f t="shared" si="4"/>
        <v>0</v>
      </c>
      <c r="AK12" t="e">
        <f t="shared" si="5"/>
        <v>#DIV/0!</v>
      </c>
      <c r="AL12" t="e">
        <f t="shared" si="6"/>
        <v>#DIV/0!</v>
      </c>
      <c r="AM12" t="e">
        <f t="shared" si="7"/>
        <v>#DIV/0!</v>
      </c>
    </row>
    <row r="13" spans="1:39" x14ac:dyDescent="0.25">
      <c r="A13" t="s">
        <v>44</v>
      </c>
      <c r="B13">
        <v>55</v>
      </c>
      <c r="C13">
        <v>60</v>
      </c>
      <c r="D13">
        <v>52</v>
      </c>
      <c r="E13">
        <v>57</v>
      </c>
      <c r="F13">
        <v>824</v>
      </c>
      <c r="G13">
        <v>919</v>
      </c>
      <c r="H13">
        <v>2.5</v>
      </c>
      <c r="I13" s="4">
        <f t="shared" si="0"/>
        <v>0</v>
      </c>
      <c r="J13" s="1">
        <v>0</v>
      </c>
      <c r="K13" s="3">
        <v>0</v>
      </c>
      <c r="L13" s="2">
        <v>0</v>
      </c>
      <c r="M13" s="1">
        <v>0</v>
      </c>
      <c r="N13" s="3">
        <v>0</v>
      </c>
      <c r="O13" s="2">
        <v>0</v>
      </c>
      <c r="P13" s="1">
        <v>0</v>
      </c>
      <c r="Q13" s="3">
        <v>0</v>
      </c>
      <c r="R13" s="2">
        <v>0</v>
      </c>
      <c r="S13" s="1">
        <v>0</v>
      </c>
      <c r="T13" s="3">
        <v>0</v>
      </c>
      <c r="U13" s="2">
        <v>0</v>
      </c>
      <c r="V13" s="1">
        <v>0</v>
      </c>
      <c r="W13" s="3">
        <v>0</v>
      </c>
      <c r="X13" s="2">
        <v>0</v>
      </c>
      <c r="Y13" s="1">
        <v>0</v>
      </c>
      <c r="Z13" s="3">
        <v>0</v>
      </c>
      <c r="AA13" s="2">
        <v>0</v>
      </c>
      <c r="AB13" s="1">
        <v>0</v>
      </c>
      <c r="AC13" s="3">
        <v>0</v>
      </c>
      <c r="AD13" s="2">
        <v>0</v>
      </c>
      <c r="AE13">
        <f t="shared" si="1"/>
        <v>0</v>
      </c>
      <c r="AF13">
        <f t="shared" si="1"/>
        <v>0</v>
      </c>
      <c r="AG13">
        <f t="shared" si="1"/>
        <v>0</v>
      </c>
      <c r="AH13">
        <f t="shared" si="2"/>
        <v>0</v>
      </c>
      <c r="AI13">
        <f t="shared" si="3"/>
        <v>0</v>
      </c>
      <c r="AJ13">
        <f t="shared" si="4"/>
        <v>0</v>
      </c>
      <c r="AK13" t="e">
        <f t="shared" si="5"/>
        <v>#DIV/0!</v>
      </c>
      <c r="AL13" t="e">
        <f t="shared" si="6"/>
        <v>#DIV/0!</v>
      </c>
      <c r="AM13" t="e">
        <f t="shared" si="7"/>
        <v>#DIV/0!</v>
      </c>
    </row>
    <row r="14" spans="1:39" x14ac:dyDescent="0.25">
      <c r="A14" t="s">
        <v>44</v>
      </c>
      <c r="B14">
        <v>60</v>
      </c>
      <c r="C14">
        <v>65</v>
      </c>
      <c r="D14">
        <v>57</v>
      </c>
      <c r="E14">
        <v>62</v>
      </c>
      <c r="F14">
        <v>919</v>
      </c>
      <c r="G14">
        <v>1008</v>
      </c>
      <c r="H14">
        <v>2.5</v>
      </c>
      <c r="I14" s="4">
        <f t="shared" si="0"/>
        <v>6</v>
      </c>
      <c r="J14" s="1">
        <v>1</v>
      </c>
      <c r="K14" s="3">
        <v>0</v>
      </c>
      <c r="L14" s="2">
        <v>0</v>
      </c>
      <c r="M14" s="1">
        <v>0</v>
      </c>
      <c r="N14" s="3">
        <v>0</v>
      </c>
      <c r="O14" s="2">
        <v>1</v>
      </c>
      <c r="P14" s="1">
        <v>0</v>
      </c>
      <c r="Q14" s="3">
        <v>0</v>
      </c>
      <c r="R14" s="2">
        <v>0</v>
      </c>
      <c r="S14" s="1">
        <v>0</v>
      </c>
      <c r="T14" s="3">
        <v>0</v>
      </c>
      <c r="U14" s="2">
        <v>0</v>
      </c>
      <c r="V14" s="1">
        <v>0</v>
      </c>
      <c r="W14" s="3">
        <v>0</v>
      </c>
      <c r="X14" s="2">
        <v>1</v>
      </c>
      <c r="Y14" s="1">
        <v>1</v>
      </c>
      <c r="Z14" s="3">
        <v>0</v>
      </c>
      <c r="AA14" s="2">
        <v>0</v>
      </c>
      <c r="AB14" s="1">
        <v>1</v>
      </c>
      <c r="AC14" s="3">
        <v>1</v>
      </c>
      <c r="AD14" s="2">
        <v>0</v>
      </c>
      <c r="AE14">
        <f t="shared" si="1"/>
        <v>3</v>
      </c>
      <c r="AF14">
        <f t="shared" si="1"/>
        <v>1</v>
      </c>
      <c r="AG14">
        <f t="shared" si="1"/>
        <v>2</v>
      </c>
      <c r="AH14">
        <f t="shared" si="2"/>
        <v>1</v>
      </c>
      <c r="AI14">
        <f t="shared" si="3"/>
        <v>3</v>
      </c>
      <c r="AJ14">
        <f t="shared" si="4"/>
        <v>2</v>
      </c>
      <c r="AK14">
        <f t="shared" si="5"/>
        <v>50</v>
      </c>
      <c r="AL14">
        <f t="shared" si="6"/>
        <v>16.666666666666664</v>
      </c>
      <c r="AM14">
        <f t="shared" si="7"/>
        <v>33.333333333333329</v>
      </c>
    </row>
    <row r="15" spans="1:39" s="8" customFormat="1" x14ac:dyDescent="0.25">
      <c r="A15" s="8" t="s">
        <v>36</v>
      </c>
      <c r="B15" s="8">
        <v>5</v>
      </c>
      <c r="C15" s="8">
        <v>10</v>
      </c>
      <c r="D15" s="8">
        <v>60</v>
      </c>
      <c r="E15" s="8">
        <v>65</v>
      </c>
      <c r="F15" s="8">
        <v>973</v>
      </c>
      <c r="G15" s="8">
        <v>1061</v>
      </c>
      <c r="H15" s="8">
        <v>2.5</v>
      </c>
      <c r="I15" s="8">
        <f t="shared" si="0"/>
        <v>11</v>
      </c>
      <c r="J15" s="9">
        <v>2</v>
      </c>
      <c r="K15" s="10">
        <v>0</v>
      </c>
      <c r="L15" s="11">
        <v>1</v>
      </c>
      <c r="M15" s="9">
        <v>1</v>
      </c>
      <c r="N15" s="10">
        <v>1</v>
      </c>
      <c r="O15" s="11">
        <v>0</v>
      </c>
      <c r="P15" s="9">
        <v>1</v>
      </c>
      <c r="Q15" s="10">
        <v>0</v>
      </c>
      <c r="R15" s="11">
        <v>1</v>
      </c>
      <c r="S15" s="9">
        <v>0</v>
      </c>
      <c r="T15" s="10">
        <v>0</v>
      </c>
      <c r="U15" s="11">
        <v>0</v>
      </c>
      <c r="V15" s="9">
        <v>0</v>
      </c>
      <c r="W15" s="10">
        <v>0</v>
      </c>
      <c r="X15" s="11">
        <v>0</v>
      </c>
      <c r="Y15" s="9">
        <v>0</v>
      </c>
      <c r="Z15" s="10">
        <v>0</v>
      </c>
      <c r="AA15" s="11">
        <v>1</v>
      </c>
      <c r="AB15" s="9">
        <v>1</v>
      </c>
      <c r="AC15" s="10">
        <v>1</v>
      </c>
      <c r="AD15" s="11">
        <v>1</v>
      </c>
      <c r="AE15" s="8">
        <f t="shared" si="1"/>
        <v>5</v>
      </c>
      <c r="AF15" s="8">
        <f t="shared" si="1"/>
        <v>2</v>
      </c>
      <c r="AG15" s="8">
        <f t="shared" si="1"/>
        <v>4</v>
      </c>
      <c r="AH15" s="8">
        <f t="shared" si="2"/>
        <v>2</v>
      </c>
      <c r="AI15" s="8">
        <f t="shared" si="3"/>
        <v>4</v>
      </c>
      <c r="AJ15" s="8">
        <f t="shared" si="4"/>
        <v>5</v>
      </c>
      <c r="AK15">
        <f t="shared" si="5"/>
        <v>45.454545454545453</v>
      </c>
      <c r="AL15">
        <f t="shared" si="6"/>
        <v>18.181818181818183</v>
      </c>
      <c r="AM15">
        <f t="shared" si="7"/>
        <v>36.363636363636367</v>
      </c>
    </row>
    <row r="16" spans="1:39" x14ac:dyDescent="0.25">
      <c r="A16" t="s">
        <v>36</v>
      </c>
      <c r="B16">
        <v>10</v>
      </c>
      <c r="C16">
        <v>15</v>
      </c>
      <c r="D16">
        <v>65</v>
      </c>
      <c r="E16">
        <v>70</v>
      </c>
      <c r="F16">
        <v>1061</v>
      </c>
      <c r="G16">
        <v>1148</v>
      </c>
      <c r="H16">
        <v>2.5</v>
      </c>
      <c r="I16" s="4">
        <f t="shared" si="0"/>
        <v>17</v>
      </c>
      <c r="J16" s="1">
        <v>3</v>
      </c>
      <c r="K16" s="3">
        <v>2</v>
      </c>
      <c r="L16" s="2">
        <v>0</v>
      </c>
      <c r="M16" s="1">
        <v>4</v>
      </c>
      <c r="N16" s="3">
        <v>1</v>
      </c>
      <c r="O16" s="2">
        <v>0</v>
      </c>
      <c r="P16" s="1">
        <v>1</v>
      </c>
      <c r="Q16" s="3">
        <v>1</v>
      </c>
      <c r="R16" s="2">
        <v>0</v>
      </c>
      <c r="S16" s="1">
        <v>0</v>
      </c>
      <c r="T16" s="3">
        <v>0</v>
      </c>
      <c r="U16" s="2">
        <v>0</v>
      </c>
      <c r="V16" s="1">
        <v>0</v>
      </c>
      <c r="W16" s="3">
        <v>0</v>
      </c>
      <c r="X16" s="2">
        <v>0</v>
      </c>
      <c r="Y16" s="1">
        <v>0</v>
      </c>
      <c r="Z16" s="3">
        <v>0</v>
      </c>
      <c r="AA16" s="2">
        <v>0</v>
      </c>
      <c r="AB16" s="1">
        <v>3</v>
      </c>
      <c r="AC16" s="3">
        <v>1</v>
      </c>
      <c r="AD16" s="2">
        <v>1</v>
      </c>
      <c r="AE16">
        <f t="shared" si="1"/>
        <v>11</v>
      </c>
      <c r="AF16">
        <f t="shared" si="1"/>
        <v>5</v>
      </c>
      <c r="AG16">
        <f t="shared" si="1"/>
        <v>1</v>
      </c>
      <c r="AH16">
        <f t="shared" si="2"/>
        <v>2</v>
      </c>
      <c r="AI16">
        <f t="shared" si="3"/>
        <v>5</v>
      </c>
      <c r="AJ16">
        <f t="shared" si="4"/>
        <v>10</v>
      </c>
      <c r="AK16">
        <f t="shared" si="5"/>
        <v>64.705882352941174</v>
      </c>
      <c r="AL16">
        <f t="shared" si="6"/>
        <v>29.411764705882355</v>
      </c>
      <c r="AM16">
        <f t="shared" si="7"/>
        <v>5.8823529411764701</v>
      </c>
    </row>
    <row r="17" spans="1:95" x14ac:dyDescent="0.25">
      <c r="A17" t="s">
        <v>36</v>
      </c>
      <c r="B17">
        <v>15</v>
      </c>
      <c r="C17">
        <v>20</v>
      </c>
      <c r="D17">
        <v>70</v>
      </c>
      <c r="E17">
        <v>75</v>
      </c>
      <c r="F17">
        <v>1148</v>
      </c>
      <c r="G17">
        <v>1234</v>
      </c>
      <c r="H17">
        <v>2.5</v>
      </c>
      <c r="I17" s="4">
        <f t="shared" si="0"/>
        <v>5</v>
      </c>
      <c r="J17" s="1">
        <v>3</v>
      </c>
      <c r="K17" s="3">
        <v>0</v>
      </c>
      <c r="L17" s="2">
        <v>0</v>
      </c>
      <c r="M17" s="1">
        <v>0</v>
      </c>
      <c r="N17" s="3">
        <v>0</v>
      </c>
      <c r="O17" s="2">
        <v>0</v>
      </c>
      <c r="P17" s="1">
        <v>1</v>
      </c>
      <c r="Q17" s="3">
        <v>0</v>
      </c>
      <c r="R17" s="2">
        <v>0</v>
      </c>
      <c r="S17" s="1">
        <v>0</v>
      </c>
      <c r="T17" s="3">
        <v>0</v>
      </c>
      <c r="U17" s="2">
        <v>0</v>
      </c>
      <c r="V17" s="1">
        <v>0</v>
      </c>
      <c r="W17" s="3">
        <v>0</v>
      </c>
      <c r="X17" s="2">
        <v>0</v>
      </c>
      <c r="Y17" s="1">
        <v>0</v>
      </c>
      <c r="Z17" s="3">
        <v>0</v>
      </c>
      <c r="AA17" s="2">
        <v>0</v>
      </c>
      <c r="AB17" s="1">
        <v>1</v>
      </c>
      <c r="AC17" s="3">
        <v>0</v>
      </c>
      <c r="AD17" s="2">
        <v>0</v>
      </c>
      <c r="AE17">
        <f t="shared" si="1"/>
        <v>5</v>
      </c>
      <c r="AF17">
        <f t="shared" si="1"/>
        <v>0</v>
      </c>
      <c r="AG17">
        <f t="shared" si="1"/>
        <v>0</v>
      </c>
      <c r="AH17">
        <f t="shared" si="2"/>
        <v>1</v>
      </c>
      <c r="AI17">
        <f t="shared" si="3"/>
        <v>1</v>
      </c>
      <c r="AJ17">
        <f t="shared" si="4"/>
        <v>3</v>
      </c>
      <c r="AK17">
        <f t="shared" si="5"/>
        <v>100</v>
      </c>
      <c r="AL17">
        <f t="shared" si="6"/>
        <v>0</v>
      </c>
      <c r="AM17">
        <f t="shared" si="7"/>
        <v>0</v>
      </c>
    </row>
    <row r="18" spans="1:95" x14ac:dyDescent="0.25">
      <c r="A18" t="s">
        <v>36</v>
      </c>
      <c r="B18">
        <v>20</v>
      </c>
      <c r="C18">
        <v>25</v>
      </c>
      <c r="D18">
        <v>75</v>
      </c>
      <c r="E18">
        <v>80</v>
      </c>
      <c r="F18">
        <v>1234</v>
      </c>
      <c r="G18">
        <v>1322</v>
      </c>
      <c r="H18">
        <v>2.5</v>
      </c>
      <c r="I18" s="4">
        <f t="shared" si="0"/>
        <v>7</v>
      </c>
      <c r="J18" s="1">
        <v>0</v>
      </c>
      <c r="K18" s="3">
        <v>1</v>
      </c>
      <c r="L18" s="2">
        <v>0</v>
      </c>
      <c r="M18" s="1">
        <v>0</v>
      </c>
      <c r="N18" s="3">
        <v>0</v>
      </c>
      <c r="O18" s="2">
        <v>0</v>
      </c>
      <c r="P18" s="1">
        <v>0</v>
      </c>
      <c r="Q18" s="3">
        <v>0</v>
      </c>
      <c r="R18" s="2">
        <v>0</v>
      </c>
      <c r="S18" s="1">
        <v>0</v>
      </c>
      <c r="T18" s="3">
        <v>0</v>
      </c>
      <c r="U18" s="2">
        <v>0</v>
      </c>
      <c r="V18" s="1">
        <v>0</v>
      </c>
      <c r="W18" s="3">
        <v>0</v>
      </c>
      <c r="X18" s="2">
        <v>0</v>
      </c>
      <c r="Y18" s="1">
        <v>0</v>
      </c>
      <c r="Z18" s="3">
        <v>1</v>
      </c>
      <c r="AA18" s="2">
        <v>1</v>
      </c>
      <c r="AB18" s="1">
        <v>1</v>
      </c>
      <c r="AC18" s="3">
        <v>2</v>
      </c>
      <c r="AD18" s="2">
        <v>1</v>
      </c>
      <c r="AE18">
        <f t="shared" si="1"/>
        <v>1</v>
      </c>
      <c r="AF18">
        <f t="shared" si="1"/>
        <v>4</v>
      </c>
      <c r="AG18">
        <f t="shared" si="1"/>
        <v>2</v>
      </c>
      <c r="AH18">
        <f t="shared" si="2"/>
        <v>0</v>
      </c>
      <c r="AI18">
        <f t="shared" si="3"/>
        <v>6</v>
      </c>
      <c r="AJ18">
        <f t="shared" si="4"/>
        <v>1</v>
      </c>
      <c r="AK18">
        <f t="shared" si="5"/>
        <v>14.285714285714285</v>
      </c>
      <c r="AL18">
        <f t="shared" si="6"/>
        <v>57.142857142857139</v>
      </c>
      <c r="AM18">
        <f t="shared" si="7"/>
        <v>28.571428571428569</v>
      </c>
    </row>
    <row r="19" spans="1:95" x14ac:dyDescent="0.25">
      <c r="A19" t="s">
        <v>36</v>
      </c>
      <c r="B19">
        <v>25</v>
      </c>
      <c r="C19">
        <v>30</v>
      </c>
      <c r="D19">
        <v>80</v>
      </c>
      <c r="E19">
        <v>85</v>
      </c>
      <c r="F19">
        <v>1322</v>
      </c>
      <c r="G19">
        <v>1419</v>
      </c>
      <c r="H19">
        <v>2.5</v>
      </c>
      <c r="I19" s="4">
        <f t="shared" si="0"/>
        <v>5</v>
      </c>
      <c r="J19" s="1">
        <v>2</v>
      </c>
      <c r="K19" s="3">
        <v>0</v>
      </c>
      <c r="L19" s="2">
        <v>0</v>
      </c>
      <c r="M19" s="3">
        <v>0</v>
      </c>
      <c r="N19" s="3">
        <v>0</v>
      </c>
      <c r="O19" s="3">
        <v>0</v>
      </c>
      <c r="P19" s="1">
        <v>1</v>
      </c>
      <c r="Q19" s="3">
        <v>0</v>
      </c>
      <c r="R19" s="2">
        <v>0</v>
      </c>
      <c r="S19" s="1">
        <v>0</v>
      </c>
      <c r="T19" s="3">
        <v>0</v>
      </c>
      <c r="U19" s="2">
        <v>0</v>
      </c>
      <c r="V19" s="1">
        <v>0</v>
      </c>
      <c r="W19" s="3">
        <v>0</v>
      </c>
      <c r="X19" s="2">
        <v>0</v>
      </c>
      <c r="Y19" s="1">
        <v>0</v>
      </c>
      <c r="Z19" s="3">
        <v>0</v>
      </c>
      <c r="AA19" s="2">
        <v>0</v>
      </c>
      <c r="AB19" s="1">
        <v>0</v>
      </c>
      <c r="AC19" s="3">
        <v>0</v>
      </c>
      <c r="AD19" s="2">
        <v>2</v>
      </c>
      <c r="AE19">
        <f t="shared" si="1"/>
        <v>3</v>
      </c>
      <c r="AF19">
        <f t="shared" si="1"/>
        <v>0</v>
      </c>
      <c r="AG19">
        <f t="shared" si="1"/>
        <v>2</v>
      </c>
      <c r="AH19">
        <f t="shared" si="2"/>
        <v>1</v>
      </c>
      <c r="AI19">
        <f t="shared" si="3"/>
        <v>2</v>
      </c>
      <c r="AJ19">
        <f t="shared" si="4"/>
        <v>2</v>
      </c>
      <c r="AK19">
        <f t="shared" si="5"/>
        <v>60</v>
      </c>
      <c r="AL19">
        <f t="shared" si="6"/>
        <v>0</v>
      </c>
      <c r="AM19">
        <f t="shared" si="7"/>
        <v>40</v>
      </c>
    </row>
    <row r="20" spans="1:95" s="5" customFormat="1" x14ac:dyDescent="0.25">
      <c r="A20" t="s">
        <v>36</v>
      </c>
      <c r="B20">
        <v>30</v>
      </c>
      <c r="C20">
        <v>35</v>
      </c>
      <c r="D20">
        <v>85</v>
      </c>
      <c r="E20">
        <v>90</v>
      </c>
      <c r="F20">
        <v>1419</v>
      </c>
      <c r="G20">
        <v>1523</v>
      </c>
      <c r="H20">
        <v>2.5</v>
      </c>
      <c r="I20" s="4">
        <f t="shared" si="0"/>
        <v>5</v>
      </c>
      <c r="J20" s="1">
        <v>1</v>
      </c>
      <c r="K20" s="3">
        <v>0</v>
      </c>
      <c r="L20" s="2">
        <v>0</v>
      </c>
      <c r="M20" s="3">
        <v>2</v>
      </c>
      <c r="N20" s="3">
        <v>0</v>
      </c>
      <c r="O20" s="3">
        <v>0</v>
      </c>
      <c r="P20" s="1">
        <v>0</v>
      </c>
      <c r="Q20" s="3">
        <v>0</v>
      </c>
      <c r="R20" s="2">
        <v>0</v>
      </c>
      <c r="S20" s="1">
        <v>0</v>
      </c>
      <c r="T20" s="3">
        <v>0</v>
      </c>
      <c r="U20" s="2">
        <v>1</v>
      </c>
      <c r="V20" s="1">
        <v>0</v>
      </c>
      <c r="W20" s="3">
        <v>0</v>
      </c>
      <c r="X20" s="2">
        <v>0</v>
      </c>
      <c r="Y20" s="1">
        <v>0</v>
      </c>
      <c r="Z20" s="3">
        <v>0</v>
      </c>
      <c r="AA20" s="2">
        <v>0</v>
      </c>
      <c r="AB20" s="1">
        <v>1</v>
      </c>
      <c r="AC20" s="3">
        <v>0</v>
      </c>
      <c r="AD20" s="2">
        <v>0</v>
      </c>
      <c r="AE20">
        <f t="shared" si="1"/>
        <v>4</v>
      </c>
      <c r="AF20">
        <f t="shared" si="1"/>
        <v>0</v>
      </c>
      <c r="AG20">
        <f t="shared" si="1"/>
        <v>1</v>
      </c>
      <c r="AH20">
        <f t="shared" si="2"/>
        <v>1</v>
      </c>
      <c r="AI20">
        <f t="shared" si="3"/>
        <v>1</v>
      </c>
      <c r="AJ20">
        <f t="shared" si="4"/>
        <v>3</v>
      </c>
      <c r="AK20">
        <f t="shared" si="5"/>
        <v>80</v>
      </c>
      <c r="AL20">
        <f t="shared" si="6"/>
        <v>0</v>
      </c>
      <c r="AM20">
        <f t="shared" si="7"/>
        <v>20</v>
      </c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</row>
    <row r="21" spans="1:95" x14ac:dyDescent="0.25">
      <c r="A21" t="s">
        <v>36</v>
      </c>
      <c r="B21">
        <v>35</v>
      </c>
      <c r="C21">
        <v>40</v>
      </c>
      <c r="D21">
        <v>90</v>
      </c>
      <c r="E21">
        <v>95</v>
      </c>
      <c r="F21">
        <v>1523</v>
      </c>
      <c r="G21">
        <v>1622</v>
      </c>
      <c r="H21">
        <v>2.5</v>
      </c>
      <c r="I21" s="4">
        <f t="shared" si="0"/>
        <v>5</v>
      </c>
      <c r="J21" s="1">
        <v>1</v>
      </c>
      <c r="K21" s="3">
        <v>1</v>
      </c>
      <c r="L21" s="2">
        <v>0</v>
      </c>
      <c r="M21" s="3">
        <v>0</v>
      </c>
      <c r="N21" s="3">
        <v>0</v>
      </c>
      <c r="O21" s="3">
        <v>0</v>
      </c>
      <c r="P21" s="1">
        <v>0</v>
      </c>
      <c r="Q21" s="3">
        <v>1</v>
      </c>
      <c r="R21" s="2">
        <v>0</v>
      </c>
      <c r="S21" s="1">
        <v>0</v>
      </c>
      <c r="T21" s="3">
        <v>0</v>
      </c>
      <c r="U21" s="2">
        <v>0</v>
      </c>
      <c r="V21" s="1">
        <v>0</v>
      </c>
      <c r="W21" s="3">
        <v>0</v>
      </c>
      <c r="X21" s="2">
        <v>0</v>
      </c>
      <c r="Y21" s="1">
        <v>0</v>
      </c>
      <c r="Z21" s="3">
        <v>0</v>
      </c>
      <c r="AA21" s="2">
        <v>0</v>
      </c>
      <c r="AB21" s="1">
        <v>0</v>
      </c>
      <c r="AC21" s="3">
        <v>1</v>
      </c>
      <c r="AD21" s="2">
        <v>1</v>
      </c>
      <c r="AE21">
        <f t="shared" si="1"/>
        <v>1</v>
      </c>
      <c r="AF21">
        <f t="shared" si="1"/>
        <v>3</v>
      </c>
      <c r="AG21">
        <f t="shared" si="1"/>
        <v>1</v>
      </c>
      <c r="AH21">
        <f t="shared" si="2"/>
        <v>1</v>
      </c>
      <c r="AI21">
        <f t="shared" si="3"/>
        <v>2</v>
      </c>
      <c r="AJ21">
        <f t="shared" si="4"/>
        <v>2</v>
      </c>
      <c r="AK21">
        <f t="shared" si="5"/>
        <v>20</v>
      </c>
      <c r="AL21">
        <f t="shared" si="6"/>
        <v>60</v>
      </c>
      <c r="AM21">
        <f t="shared" si="7"/>
        <v>20</v>
      </c>
    </row>
    <row r="22" spans="1:95" x14ac:dyDescent="0.25">
      <c r="A22" t="s">
        <v>36</v>
      </c>
      <c r="B22">
        <v>40</v>
      </c>
      <c r="C22">
        <v>45</v>
      </c>
      <c r="D22">
        <v>95</v>
      </c>
      <c r="E22">
        <v>100</v>
      </c>
      <c r="F22">
        <v>1622</v>
      </c>
      <c r="G22">
        <v>1722</v>
      </c>
      <c r="H22">
        <v>2.5</v>
      </c>
      <c r="I22" s="4">
        <f t="shared" si="0"/>
        <v>10</v>
      </c>
      <c r="J22" s="1">
        <v>0</v>
      </c>
      <c r="K22" s="3">
        <v>1</v>
      </c>
      <c r="L22" s="2">
        <v>0</v>
      </c>
      <c r="M22" s="1">
        <v>0</v>
      </c>
      <c r="N22" s="3">
        <v>0</v>
      </c>
      <c r="O22" s="2">
        <v>1</v>
      </c>
      <c r="P22" s="1">
        <v>2</v>
      </c>
      <c r="Q22" s="3">
        <v>0</v>
      </c>
      <c r="R22" s="2">
        <v>2</v>
      </c>
      <c r="S22" s="1">
        <v>0</v>
      </c>
      <c r="T22" s="3">
        <v>1</v>
      </c>
      <c r="U22" s="2">
        <v>0</v>
      </c>
      <c r="V22" s="1">
        <v>0</v>
      </c>
      <c r="W22" s="3">
        <v>0</v>
      </c>
      <c r="X22" s="2">
        <v>0</v>
      </c>
      <c r="Y22" s="1">
        <v>0</v>
      </c>
      <c r="Z22" s="3">
        <v>0</v>
      </c>
      <c r="AA22" s="2">
        <v>0</v>
      </c>
      <c r="AB22" s="1">
        <v>0</v>
      </c>
      <c r="AC22" s="3">
        <v>1</v>
      </c>
      <c r="AD22" s="2">
        <v>2</v>
      </c>
      <c r="AE22">
        <f t="shared" si="1"/>
        <v>2</v>
      </c>
      <c r="AF22">
        <f t="shared" si="1"/>
        <v>3</v>
      </c>
      <c r="AG22">
        <f t="shared" si="1"/>
        <v>5</v>
      </c>
      <c r="AH22">
        <f t="shared" si="2"/>
        <v>5</v>
      </c>
      <c r="AI22">
        <f t="shared" si="3"/>
        <v>3</v>
      </c>
      <c r="AJ22">
        <f t="shared" si="4"/>
        <v>2</v>
      </c>
      <c r="AK22">
        <f t="shared" si="5"/>
        <v>20</v>
      </c>
      <c r="AL22">
        <f t="shared" si="6"/>
        <v>30</v>
      </c>
      <c r="AM22">
        <f t="shared" si="7"/>
        <v>50</v>
      </c>
    </row>
    <row r="23" spans="1:95" x14ac:dyDescent="0.25">
      <c r="A23" t="s">
        <v>36</v>
      </c>
      <c r="B23">
        <v>45</v>
      </c>
      <c r="C23">
        <v>50</v>
      </c>
      <c r="D23">
        <v>100</v>
      </c>
      <c r="E23">
        <v>105</v>
      </c>
      <c r="F23">
        <v>1722</v>
      </c>
      <c r="G23">
        <v>1812</v>
      </c>
      <c r="H23">
        <v>2.5</v>
      </c>
      <c r="I23" s="4">
        <f t="shared" si="0"/>
        <v>10</v>
      </c>
      <c r="J23" s="1">
        <v>1</v>
      </c>
      <c r="K23" s="3">
        <v>0</v>
      </c>
      <c r="L23" s="2">
        <v>0</v>
      </c>
      <c r="M23" s="1">
        <v>1</v>
      </c>
      <c r="N23" s="3">
        <v>1</v>
      </c>
      <c r="O23" s="2">
        <v>0</v>
      </c>
      <c r="P23" s="1">
        <v>1</v>
      </c>
      <c r="Q23" s="3">
        <v>1</v>
      </c>
      <c r="R23" s="2">
        <v>0</v>
      </c>
      <c r="S23" s="1">
        <v>1</v>
      </c>
      <c r="T23" s="3">
        <v>1</v>
      </c>
      <c r="U23" s="2">
        <v>0</v>
      </c>
      <c r="V23" s="1">
        <v>0</v>
      </c>
      <c r="W23" s="3">
        <v>0</v>
      </c>
      <c r="X23" s="2">
        <v>0</v>
      </c>
      <c r="Y23" s="1">
        <v>0</v>
      </c>
      <c r="Z23" s="3">
        <v>1</v>
      </c>
      <c r="AA23" s="2">
        <v>0</v>
      </c>
      <c r="AB23" s="1">
        <v>1</v>
      </c>
      <c r="AC23" s="3">
        <v>1</v>
      </c>
      <c r="AD23" s="2">
        <v>0</v>
      </c>
      <c r="AE23">
        <f t="shared" si="1"/>
        <v>5</v>
      </c>
      <c r="AF23">
        <f t="shared" si="1"/>
        <v>5</v>
      </c>
      <c r="AG23">
        <f t="shared" si="1"/>
        <v>0</v>
      </c>
      <c r="AH23">
        <f t="shared" si="2"/>
        <v>4</v>
      </c>
      <c r="AI23">
        <f t="shared" si="3"/>
        <v>3</v>
      </c>
      <c r="AJ23">
        <f t="shared" si="4"/>
        <v>3</v>
      </c>
      <c r="AK23">
        <f t="shared" si="5"/>
        <v>50</v>
      </c>
      <c r="AL23">
        <f t="shared" si="6"/>
        <v>50</v>
      </c>
      <c r="AM23">
        <f t="shared" si="7"/>
        <v>0</v>
      </c>
    </row>
    <row r="24" spans="1:95" x14ac:dyDescent="0.25">
      <c r="A24" t="s">
        <v>36</v>
      </c>
      <c r="B24">
        <v>50</v>
      </c>
      <c r="C24">
        <v>55</v>
      </c>
      <c r="D24">
        <v>105</v>
      </c>
      <c r="E24">
        <v>110</v>
      </c>
      <c r="F24">
        <v>1812</v>
      </c>
      <c r="G24">
        <v>1911</v>
      </c>
      <c r="H24">
        <v>2.5</v>
      </c>
      <c r="I24" s="4">
        <f t="shared" si="0"/>
        <v>15</v>
      </c>
      <c r="J24" s="1">
        <v>2</v>
      </c>
      <c r="K24" s="3">
        <v>0</v>
      </c>
      <c r="L24" s="2">
        <v>0</v>
      </c>
      <c r="M24" s="1">
        <v>0</v>
      </c>
      <c r="N24" s="3">
        <v>0</v>
      </c>
      <c r="O24" s="2">
        <v>0</v>
      </c>
      <c r="P24" s="1">
        <v>2</v>
      </c>
      <c r="Q24" s="3">
        <v>2</v>
      </c>
      <c r="R24" s="2">
        <v>4</v>
      </c>
      <c r="S24" s="1">
        <v>0</v>
      </c>
      <c r="T24" s="3">
        <v>0</v>
      </c>
      <c r="U24" s="2">
        <v>1</v>
      </c>
      <c r="V24" s="1">
        <v>0</v>
      </c>
      <c r="W24" s="3">
        <v>0</v>
      </c>
      <c r="X24" s="2">
        <v>0</v>
      </c>
      <c r="Y24" s="1">
        <v>0</v>
      </c>
      <c r="Z24" s="3">
        <v>0</v>
      </c>
      <c r="AA24" s="2">
        <v>0</v>
      </c>
      <c r="AB24" s="1">
        <v>2</v>
      </c>
      <c r="AC24" s="3">
        <v>1</v>
      </c>
      <c r="AD24" s="2">
        <v>1</v>
      </c>
      <c r="AE24">
        <f t="shared" si="1"/>
        <v>6</v>
      </c>
      <c r="AF24">
        <f t="shared" si="1"/>
        <v>3</v>
      </c>
      <c r="AG24">
        <f t="shared" si="1"/>
        <v>6</v>
      </c>
      <c r="AH24">
        <f t="shared" si="2"/>
        <v>9</v>
      </c>
      <c r="AI24">
        <f t="shared" si="3"/>
        <v>4</v>
      </c>
      <c r="AJ24">
        <f t="shared" si="4"/>
        <v>2</v>
      </c>
      <c r="AK24">
        <f t="shared" si="5"/>
        <v>40</v>
      </c>
      <c r="AL24">
        <f t="shared" si="6"/>
        <v>20</v>
      </c>
      <c r="AM24">
        <f t="shared" si="7"/>
        <v>40</v>
      </c>
    </row>
    <row r="25" spans="1:95" x14ac:dyDescent="0.25">
      <c r="A25" t="s">
        <v>36</v>
      </c>
      <c r="B25">
        <v>55</v>
      </c>
      <c r="C25">
        <v>60</v>
      </c>
      <c r="D25">
        <v>110</v>
      </c>
      <c r="E25">
        <v>115</v>
      </c>
      <c r="F25">
        <v>1911</v>
      </c>
      <c r="G25">
        <v>2020</v>
      </c>
      <c r="H25">
        <v>2.5</v>
      </c>
      <c r="I25" s="4">
        <f t="shared" si="0"/>
        <v>14</v>
      </c>
      <c r="J25" s="1">
        <v>0</v>
      </c>
      <c r="K25" s="3">
        <v>1</v>
      </c>
      <c r="L25" s="2">
        <v>0</v>
      </c>
      <c r="M25" s="1">
        <v>0</v>
      </c>
      <c r="N25" s="3">
        <v>0</v>
      </c>
      <c r="O25" s="2">
        <v>0</v>
      </c>
      <c r="P25" s="1">
        <v>0</v>
      </c>
      <c r="Q25" s="3">
        <v>2</v>
      </c>
      <c r="R25" s="2">
        <v>0</v>
      </c>
      <c r="S25" s="1">
        <v>0</v>
      </c>
      <c r="T25" s="3">
        <v>1</v>
      </c>
      <c r="U25" s="2">
        <v>5</v>
      </c>
      <c r="V25" s="1">
        <v>0</v>
      </c>
      <c r="W25" s="3">
        <v>0</v>
      </c>
      <c r="X25" s="2">
        <v>0</v>
      </c>
      <c r="Y25" s="1">
        <v>0</v>
      </c>
      <c r="Z25" s="3">
        <v>0</v>
      </c>
      <c r="AA25" s="2">
        <v>1</v>
      </c>
      <c r="AB25" s="1">
        <v>2</v>
      </c>
      <c r="AC25" s="3">
        <v>0</v>
      </c>
      <c r="AD25" s="2">
        <v>2</v>
      </c>
      <c r="AE25">
        <f t="shared" si="1"/>
        <v>2</v>
      </c>
      <c r="AF25">
        <f t="shared" si="1"/>
        <v>4</v>
      </c>
      <c r="AG25">
        <f t="shared" si="1"/>
        <v>8</v>
      </c>
      <c r="AH25">
        <f t="shared" si="2"/>
        <v>8</v>
      </c>
      <c r="AI25">
        <f t="shared" si="3"/>
        <v>5</v>
      </c>
      <c r="AJ25">
        <f t="shared" si="4"/>
        <v>1</v>
      </c>
      <c r="AK25">
        <f t="shared" si="5"/>
        <v>14.285714285714285</v>
      </c>
      <c r="AL25">
        <f t="shared" si="6"/>
        <v>28.571428571428569</v>
      </c>
      <c r="AM25">
        <f t="shared" si="7"/>
        <v>57.142857142857139</v>
      </c>
    </row>
    <row r="26" spans="1:95" x14ac:dyDescent="0.25">
      <c r="A26" t="s">
        <v>36</v>
      </c>
      <c r="B26">
        <v>60</v>
      </c>
      <c r="C26">
        <v>65</v>
      </c>
      <c r="D26">
        <v>115</v>
      </c>
      <c r="E26">
        <v>120</v>
      </c>
      <c r="F26">
        <v>2020</v>
      </c>
      <c r="G26">
        <v>2133</v>
      </c>
      <c r="H26">
        <v>2.5</v>
      </c>
      <c r="I26" s="4">
        <f t="shared" si="0"/>
        <v>29</v>
      </c>
      <c r="J26" s="1">
        <v>3</v>
      </c>
      <c r="K26" s="3">
        <v>2</v>
      </c>
      <c r="L26" s="2">
        <v>0</v>
      </c>
      <c r="M26" s="1">
        <v>1</v>
      </c>
      <c r="N26" s="3">
        <v>0</v>
      </c>
      <c r="O26" s="2">
        <v>0</v>
      </c>
      <c r="P26" s="1">
        <v>0</v>
      </c>
      <c r="Q26" s="3">
        <v>1</v>
      </c>
      <c r="R26" s="2">
        <v>6</v>
      </c>
      <c r="S26" s="1">
        <v>0</v>
      </c>
      <c r="T26" s="3">
        <v>0</v>
      </c>
      <c r="U26" s="2">
        <v>4</v>
      </c>
      <c r="V26" s="1">
        <v>0</v>
      </c>
      <c r="W26" s="3">
        <v>0</v>
      </c>
      <c r="X26" s="2">
        <v>0</v>
      </c>
      <c r="Y26" s="1">
        <v>0</v>
      </c>
      <c r="Z26" s="3">
        <v>1</v>
      </c>
      <c r="AA26" s="2">
        <v>0</v>
      </c>
      <c r="AB26" s="1">
        <v>4</v>
      </c>
      <c r="AC26" s="3">
        <v>4</v>
      </c>
      <c r="AD26" s="2">
        <v>3</v>
      </c>
      <c r="AE26">
        <f t="shared" si="1"/>
        <v>8</v>
      </c>
      <c r="AF26">
        <f t="shared" si="1"/>
        <v>8</v>
      </c>
      <c r="AG26">
        <f t="shared" si="1"/>
        <v>13</v>
      </c>
      <c r="AH26">
        <f t="shared" si="2"/>
        <v>11</v>
      </c>
      <c r="AI26">
        <f t="shared" si="3"/>
        <v>12</v>
      </c>
      <c r="AJ26">
        <f t="shared" si="4"/>
        <v>6</v>
      </c>
      <c r="AK26">
        <f t="shared" si="5"/>
        <v>27.586206896551722</v>
      </c>
      <c r="AL26">
        <f t="shared" si="6"/>
        <v>27.586206896551722</v>
      </c>
      <c r="AM26">
        <f t="shared" si="7"/>
        <v>44.827586206896555</v>
      </c>
    </row>
    <row r="27" spans="1:95" x14ac:dyDescent="0.25">
      <c r="A27" t="s">
        <v>36</v>
      </c>
      <c r="B27">
        <v>65</v>
      </c>
      <c r="C27">
        <v>70</v>
      </c>
      <c r="D27">
        <v>120</v>
      </c>
      <c r="E27">
        <v>125</v>
      </c>
      <c r="F27">
        <v>2133</v>
      </c>
      <c r="G27">
        <v>2205</v>
      </c>
      <c r="H27">
        <v>2.5</v>
      </c>
      <c r="I27" s="4">
        <f t="shared" si="0"/>
        <v>6</v>
      </c>
      <c r="J27" s="1">
        <v>3</v>
      </c>
      <c r="K27" s="3">
        <v>0</v>
      </c>
      <c r="L27" s="2">
        <v>0</v>
      </c>
      <c r="M27" s="1">
        <v>0</v>
      </c>
      <c r="N27" s="3">
        <v>0</v>
      </c>
      <c r="O27" s="2">
        <v>0</v>
      </c>
      <c r="P27" s="1">
        <v>0</v>
      </c>
      <c r="Q27" s="3">
        <v>0</v>
      </c>
      <c r="R27" s="2">
        <v>0</v>
      </c>
      <c r="S27" s="1">
        <v>0</v>
      </c>
      <c r="T27" s="3">
        <v>0</v>
      </c>
      <c r="U27" s="2">
        <v>0</v>
      </c>
      <c r="V27" s="1">
        <v>0</v>
      </c>
      <c r="W27" s="3">
        <v>0</v>
      </c>
      <c r="X27" s="2">
        <v>0</v>
      </c>
      <c r="Y27" s="1">
        <v>0</v>
      </c>
      <c r="Z27" s="3">
        <v>1</v>
      </c>
      <c r="AA27" s="2">
        <v>0</v>
      </c>
      <c r="AB27" s="1">
        <v>1</v>
      </c>
      <c r="AC27" s="3">
        <v>0</v>
      </c>
      <c r="AD27" s="2">
        <v>1</v>
      </c>
      <c r="AE27">
        <f t="shared" si="1"/>
        <v>4</v>
      </c>
      <c r="AF27">
        <f t="shared" si="1"/>
        <v>1</v>
      </c>
      <c r="AG27">
        <f t="shared" si="1"/>
        <v>1</v>
      </c>
      <c r="AH27">
        <f t="shared" si="2"/>
        <v>0</v>
      </c>
      <c r="AI27">
        <f t="shared" si="3"/>
        <v>3</v>
      </c>
      <c r="AJ27">
        <f t="shared" si="4"/>
        <v>3</v>
      </c>
      <c r="AK27">
        <f t="shared" si="5"/>
        <v>66.666666666666657</v>
      </c>
      <c r="AL27">
        <f t="shared" si="6"/>
        <v>16.666666666666664</v>
      </c>
      <c r="AM27">
        <f t="shared" si="7"/>
        <v>16.666666666666664</v>
      </c>
    </row>
    <row r="28" spans="1:95" x14ac:dyDescent="0.25">
      <c r="A28" t="s">
        <v>36</v>
      </c>
      <c r="B28">
        <v>70</v>
      </c>
      <c r="C28">
        <v>75</v>
      </c>
      <c r="D28">
        <v>125</v>
      </c>
      <c r="E28">
        <v>130</v>
      </c>
      <c r="F28">
        <v>2205</v>
      </c>
      <c r="G28">
        <v>2281</v>
      </c>
      <c r="H28">
        <v>2.5</v>
      </c>
      <c r="I28" s="4">
        <f t="shared" si="0"/>
        <v>9</v>
      </c>
      <c r="J28" s="1">
        <v>0</v>
      </c>
      <c r="K28" s="3">
        <v>0</v>
      </c>
      <c r="L28" s="2">
        <v>0</v>
      </c>
      <c r="M28" s="1">
        <v>2</v>
      </c>
      <c r="N28" s="3">
        <v>0</v>
      </c>
      <c r="O28" s="2">
        <v>0</v>
      </c>
      <c r="P28" s="1">
        <v>1</v>
      </c>
      <c r="Q28" s="3">
        <v>1</v>
      </c>
      <c r="R28" s="2">
        <v>1</v>
      </c>
      <c r="S28" s="1">
        <v>0</v>
      </c>
      <c r="T28" s="3">
        <v>1</v>
      </c>
      <c r="U28" s="2">
        <v>0</v>
      </c>
      <c r="V28" s="1">
        <v>0</v>
      </c>
      <c r="W28" s="3">
        <v>0</v>
      </c>
      <c r="X28" s="2">
        <v>0</v>
      </c>
      <c r="Y28" s="1">
        <v>0</v>
      </c>
      <c r="Z28" s="3">
        <v>0</v>
      </c>
      <c r="AA28" s="2">
        <v>0</v>
      </c>
      <c r="AB28" s="1">
        <v>2</v>
      </c>
      <c r="AC28" s="3">
        <v>0</v>
      </c>
      <c r="AD28" s="2">
        <v>1</v>
      </c>
      <c r="AE28">
        <f t="shared" si="1"/>
        <v>5</v>
      </c>
      <c r="AF28">
        <f t="shared" si="1"/>
        <v>2</v>
      </c>
      <c r="AG28">
        <f t="shared" si="1"/>
        <v>2</v>
      </c>
      <c r="AH28">
        <f t="shared" si="2"/>
        <v>4</v>
      </c>
      <c r="AI28">
        <f t="shared" si="3"/>
        <v>3</v>
      </c>
      <c r="AJ28">
        <f t="shared" si="4"/>
        <v>2</v>
      </c>
      <c r="AK28">
        <f t="shared" si="5"/>
        <v>55.555555555555557</v>
      </c>
      <c r="AL28">
        <f t="shared" si="6"/>
        <v>22.222222222222221</v>
      </c>
      <c r="AM28">
        <f t="shared" si="7"/>
        <v>22.222222222222221</v>
      </c>
    </row>
    <row r="29" spans="1:95" x14ac:dyDescent="0.25">
      <c r="A29" t="s">
        <v>36</v>
      </c>
      <c r="B29">
        <v>75</v>
      </c>
      <c r="C29">
        <v>80</v>
      </c>
      <c r="D29">
        <v>130</v>
      </c>
      <c r="E29">
        <v>135</v>
      </c>
      <c r="F29">
        <v>2281</v>
      </c>
      <c r="G29">
        <v>2359</v>
      </c>
      <c r="H29">
        <v>2.5</v>
      </c>
      <c r="I29" s="4">
        <f t="shared" si="0"/>
        <v>9</v>
      </c>
      <c r="J29" s="1">
        <v>1</v>
      </c>
      <c r="K29" s="3">
        <v>0</v>
      </c>
      <c r="L29" s="2">
        <v>0</v>
      </c>
      <c r="M29" s="1">
        <v>0</v>
      </c>
      <c r="N29" s="3">
        <v>0</v>
      </c>
      <c r="O29" s="2">
        <v>0</v>
      </c>
      <c r="P29" s="1">
        <v>1</v>
      </c>
      <c r="Q29" s="3">
        <v>1</v>
      </c>
      <c r="R29" s="2">
        <v>0</v>
      </c>
      <c r="S29" s="1">
        <v>0</v>
      </c>
      <c r="T29" s="3">
        <v>0</v>
      </c>
      <c r="U29" s="2">
        <v>3</v>
      </c>
      <c r="V29" s="1">
        <v>0</v>
      </c>
      <c r="W29" s="3">
        <v>0</v>
      </c>
      <c r="X29" s="2">
        <v>0</v>
      </c>
      <c r="Y29" s="1">
        <v>0</v>
      </c>
      <c r="Z29" s="3">
        <v>0</v>
      </c>
      <c r="AA29" s="2">
        <v>0</v>
      </c>
      <c r="AB29" s="1">
        <v>0</v>
      </c>
      <c r="AC29" s="3">
        <v>3</v>
      </c>
      <c r="AD29" s="2">
        <v>0</v>
      </c>
      <c r="AE29">
        <f t="shared" ref="AE29:AG31" si="8">SUM(J29,M29,P29,S29,V29,Y29,AB29)</f>
        <v>2</v>
      </c>
      <c r="AF29">
        <f t="shared" si="8"/>
        <v>4</v>
      </c>
      <c r="AG29">
        <f t="shared" si="8"/>
        <v>3</v>
      </c>
      <c r="AH29">
        <f t="shared" si="2"/>
        <v>5</v>
      </c>
      <c r="AI29">
        <f t="shared" si="3"/>
        <v>3</v>
      </c>
      <c r="AJ29">
        <f t="shared" si="4"/>
        <v>1</v>
      </c>
      <c r="AK29">
        <f t="shared" si="5"/>
        <v>22.222222222222221</v>
      </c>
      <c r="AL29">
        <f t="shared" si="6"/>
        <v>44.444444444444443</v>
      </c>
      <c r="AM29">
        <f t="shared" si="7"/>
        <v>33.333333333333329</v>
      </c>
    </row>
    <row r="30" spans="1:95" x14ac:dyDescent="0.25">
      <c r="A30" t="s">
        <v>36</v>
      </c>
      <c r="B30">
        <v>80</v>
      </c>
      <c r="C30">
        <v>85</v>
      </c>
      <c r="D30">
        <v>135</v>
      </c>
      <c r="E30">
        <v>140</v>
      </c>
      <c r="F30">
        <v>2359</v>
      </c>
      <c r="G30">
        <v>2443</v>
      </c>
      <c r="H30">
        <v>2.5</v>
      </c>
      <c r="I30" s="4">
        <f t="shared" si="0"/>
        <v>14</v>
      </c>
      <c r="J30" s="1">
        <v>1</v>
      </c>
      <c r="K30" s="3">
        <v>1</v>
      </c>
      <c r="L30" s="2">
        <v>0</v>
      </c>
      <c r="M30" s="1">
        <v>1</v>
      </c>
      <c r="N30" s="3">
        <v>0</v>
      </c>
      <c r="O30" s="2">
        <v>0</v>
      </c>
      <c r="P30" s="1">
        <v>1</v>
      </c>
      <c r="Q30" s="3">
        <v>0</v>
      </c>
      <c r="R30" s="2">
        <v>1</v>
      </c>
      <c r="S30" s="1">
        <v>0</v>
      </c>
      <c r="T30" s="3">
        <v>0</v>
      </c>
      <c r="U30" s="2">
        <v>0</v>
      </c>
      <c r="V30" s="1">
        <v>0</v>
      </c>
      <c r="W30" s="3">
        <v>0</v>
      </c>
      <c r="X30" s="2">
        <v>0</v>
      </c>
      <c r="Y30" s="1">
        <v>0</v>
      </c>
      <c r="Z30" s="3">
        <v>1</v>
      </c>
      <c r="AA30" s="2">
        <v>0</v>
      </c>
      <c r="AB30" s="1">
        <v>4</v>
      </c>
      <c r="AC30" s="3">
        <v>3</v>
      </c>
      <c r="AD30" s="2">
        <v>1</v>
      </c>
      <c r="AE30">
        <f t="shared" si="8"/>
        <v>7</v>
      </c>
      <c r="AF30">
        <f t="shared" si="8"/>
        <v>5</v>
      </c>
      <c r="AG30">
        <f t="shared" si="8"/>
        <v>2</v>
      </c>
      <c r="AH30">
        <f t="shared" si="2"/>
        <v>2</v>
      </c>
      <c r="AI30">
        <f t="shared" si="3"/>
        <v>9</v>
      </c>
      <c r="AJ30">
        <f t="shared" si="4"/>
        <v>3</v>
      </c>
      <c r="AK30">
        <f t="shared" si="5"/>
        <v>50</v>
      </c>
      <c r="AL30">
        <f t="shared" si="6"/>
        <v>35.714285714285715</v>
      </c>
      <c r="AM30">
        <f t="shared" si="7"/>
        <v>14.285714285714285</v>
      </c>
    </row>
    <row r="31" spans="1:95" x14ac:dyDescent="0.25">
      <c r="A31" t="s">
        <v>36</v>
      </c>
      <c r="B31">
        <v>85</v>
      </c>
      <c r="C31">
        <v>90</v>
      </c>
      <c r="D31">
        <v>140</v>
      </c>
      <c r="E31">
        <v>145</v>
      </c>
      <c r="F31">
        <v>2443</v>
      </c>
      <c r="G31">
        <v>2496</v>
      </c>
      <c r="H31">
        <v>2.5</v>
      </c>
      <c r="I31" s="4">
        <f t="shared" si="0"/>
        <v>32</v>
      </c>
      <c r="J31" s="1">
        <v>2</v>
      </c>
      <c r="K31" s="3">
        <v>1</v>
      </c>
      <c r="L31" s="2">
        <v>0</v>
      </c>
      <c r="M31" s="1">
        <v>5</v>
      </c>
      <c r="N31" s="3">
        <v>0</v>
      </c>
      <c r="O31" s="2">
        <v>0</v>
      </c>
      <c r="P31" s="1">
        <v>0</v>
      </c>
      <c r="Q31" s="3">
        <v>3</v>
      </c>
      <c r="R31" s="2">
        <v>4</v>
      </c>
      <c r="S31" s="1">
        <v>1</v>
      </c>
      <c r="T31" s="3">
        <v>1</v>
      </c>
      <c r="U31" s="2">
        <v>1</v>
      </c>
      <c r="V31" s="1">
        <v>0</v>
      </c>
      <c r="W31" s="3">
        <v>1</v>
      </c>
      <c r="X31" s="2">
        <v>0</v>
      </c>
      <c r="Y31" s="1">
        <v>0</v>
      </c>
      <c r="Z31" s="3">
        <v>0</v>
      </c>
      <c r="AA31" s="2">
        <v>0</v>
      </c>
      <c r="AB31" s="1">
        <v>10</v>
      </c>
      <c r="AC31" s="3">
        <v>3</v>
      </c>
      <c r="AD31" s="2">
        <v>0</v>
      </c>
      <c r="AE31">
        <f t="shared" si="8"/>
        <v>18</v>
      </c>
      <c r="AF31">
        <f t="shared" si="8"/>
        <v>9</v>
      </c>
      <c r="AG31">
        <f t="shared" si="8"/>
        <v>5</v>
      </c>
      <c r="AH31">
        <f t="shared" si="2"/>
        <v>11</v>
      </c>
      <c r="AI31">
        <f t="shared" si="3"/>
        <v>13</v>
      </c>
      <c r="AJ31">
        <f t="shared" si="4"/>
        <v>8</v>
      </c>
      <c r="AK31">
        <f t="shared" si="5"/>
        <v>56.25</v>
      </c>
      <c r="AL31">
        <f t="shared" si="6"/>
        <v>28.125</v>
      </c>
      <c r="AM31">
        <f t="shared" si="7"/>
        <v>15.625</v>
      </c>
    </row>
    <row r="32" spans="1:95" x14ac:dyDescent="0.25">
      <c r="A32" t="s">
        <v>36</v>
      </c>
      <c r="B32">
        <v>90</v>
      </c>
      <c r="C32">
        <v>95</v>
      </c>
      <c r="D32">
        <v>145</v>
      </c>
      <c r="E32">
        <v>150</v>
      </c>
      <c r="F32">
        <v>2496</v>
      </c>
      <c r="G32">
        <v>2548</v>
      </c>
      <c r="H32">
        <v>2.5</v>
      </c>
      <c r="I32" s="4">
        <f t="shared" si="0"/>
        <v>18</v>
      </c>
      <c r="J32" s="1">
        <v>1</v>
      </c>
      <c r="K32" s="3">
        <v>2</v>
      </c>
      <c r="L32" s="2">
        <v>2</v>
      </c>
      <c r="M32" s="1">
        <v>0</v>
      </c>
      <c r="N32" s="3">
        <v>2</v>
      </c>
      <c r="O32" s="2">
        <v>0</v>
      </c>
      <c r="P32" s="1">
        <v>0</v>
      </c>
      <c r="Q32" s="3">
        <v>0</v>
      </c>
      <c r="R32" s="2">
        <v>3</v>
      </c>
      <c r="S32" s="1">
        <v>0</v>
      </c>
      <c r="T32" s="3">
        <v>0</v>
      </c>
      <c r="U32" s="2">
        <v>0</v>
      </c>
      <c r="V32" s="1">
        <v>0</v>
      </c>
      <c r="W32" s="3">
        <v>0</v>
      </c>
      <c r="X32" s="2">
        <v>0</v>
      </c>
      <c r="Y32" s="1">
        <v>0</v>
      </c>
      <c r="Z32" s="3">
        <v>0</v>
      </c>
      <c r="AA32" s="2">
        <v>0</v>
      </c>
      <c r="AB32" s="1">
        <v>1</v>
      </c>
      <c r="AC32" s="3">
        <v>2</v>
      </c>
      <c r="AD32" s="2">
        <v>5</v>
      </c>
      <c r="AE32">
        <f t="shared" ref="AE32:AE48" si="9">SUM(J32,M32,P32,S32,V32,Y32,AB32)</f>
        <v>2</v>
      </c>
      <c r="AF32">
        <f t="shared" ref="AF32:AF48" si="10">SUM(K32,N32,Q32,T32,W32,Z32,AC32)</f>
        <v>6</v>
      </c>
      <c r="AG32">
        <f t="shared" ref="AG32:AG48" si="11">SUM(L32,O32,R32,U32,X32,AA32,AD32)</f>
        <v>10</v>
      </c>
      <c r="AH32">
        <f t="shared" ref="AH32:AH48" si="12">SUM(P32:X32)</f>
        <v>3</v>
      </c>
      <c r="AI32">
        <f t="shared" ref="AI32:AI48" si="13">SUM(Y32:AD32)</f>
        <v>8</v>
      </c>
      <c r="AJ32">
        <f t="shared" ref="AJ32:AJ48" si="14">SUM(J32:O32)</f>
        <v>7</v>
      </c>
      <c r="AK32">
        <f t="shared" si="5"/>
        <v>11.111111111111111</v>
      </c>
      <c r="AL32">
        <f t="shared" si="6"/>
        <v>33.333333333333329</v>
      </c>
      <c r="AM32">
        <f t="shared" si="7"/>
        <v>55.555555555555557</v>
      </c>
    </row>
    <row r="33" spans="1:95" x14ac:dyDescent="0.25">
      <c r="A33" t="s">
        <v>36</v>
      </c>
      <c r="B33">
        <v>95</v>
      </c>
      <c r="C33">
        <v>100</v>
      </c>
      <c r="D33">
        <v>150</v>
      </c>
      <c r="E33">
        <v>155</v>
      </c>
      <c r="F33">
        <v>2548</v>
      </c>
      <c r="G33">
        <v>2616</v>
      </c>
      <c r="H33">
        <v>2.5</v>
      </c>
      <c r="I33" s="4">
        <f t="shared" si="0"/>
        <v>83</v>
      </c>
      <c r="J33" s="1">
        <v>1</v>
      </c>
      <c r="K33" s="3">
        <v>2</v>
      </c>
      <c r="L33" s="2">
        <v>0</v>
      </c>
      <c r="M33" s="1">
        <v>6</v>
      </c>
      <c r="N33" s="3">
        <v>30</v>
      </c>
      <c r="O33" s="2">
        <v>27</v>
      </c>
      <c r="P33" s="1">
        <v>0</v>
      </c>
      <c r="Q33" s="3">
        <v>0</v>
      </c>
      <c r="R33" s="2">
        <v>3</v>
      </c>
      <c r="S33" s="1">
        <v>1</v>
      </c>
      <c r="T33" s="3">
        <v>1</v>
      </c>
      <c r="U33" s="2">
        <v>2</v>
      </c>
      <c r="V33" s="1">
        <v>0</v>
      </c>
      <c r="W33" s="3">
        <v>1</v>
      </c>
      <c r="X33" s="2">
        <v>4</v>
      </c>
      <c r="Y33" s="1">
        <v>0</v>
      </c>
      <c r="Z33" s="3">
        <v>0</v>
      </c>
      <c r="AA33" s="2">
        <v>0</v>
      </c>
      <c r="AB33" s="1">
        <v>0</v>
      </c>
      <c r="AC33" s="3">
        <v>0</v>
      </c>
      <c r="AD33" s="2">
        <v>5</v>
      </c>
      <c r="AE33">
        <f t="shared" si="9"/>
        <v>8</v>
      </c>
      <c r="AF33">
        <f t="shared" si="10"/>
        <v>34</v>
      </c>
      <c r="AG33">
        <f t="shared" si="11"/>
        <v>41</v>
      </c>
      <c r="AH33">
        <f t="shared" si="12"/>
        <v>12</v>
      </c>
      <c r="AI33">
        <f t="shared" si="13"/>
        <v>5</v>
      </c>
      <c r="AJ33">
        <f t="shared" si="14"/>
        <v>66</v>
      </c>
      <c r="AK33">
        <f t="shared" si="5"/>
        <v>9.6385542168674707</v>
      </c>
      <c r="AL33">
        <f t="shared" si="6"/>
        <v>40.963855421686745</v>
      </c>
      <c r="AM33">
        <f t="shared" si="7"/>
        <v>49.397590361445779</v>
      </c>
    </row>
    <row r="34" spans="1:95" s="8" customFormat="1" x14ac:dyDescent="0.25">
      <c r="A34" s="8" t="s">
        <v>37</v>
      </c>
      <c r="B34" s="8">
        <v>2.5</v>
      </c>
      <c r="C34" s="8">
        <v>5</v>
      </c>
      <c r="D34" s="8">
        <v>155</v>
      </c>
      <c r="E34" s="8">
        <v>157.5</v>
      </c>
      <c r="F34" s="8">
        <v>2616</v>
      </c>
      <c r="G34" s="8">
        <v>2649</v>
      </c>
      <c r="H34" s="8">
        <v>1.25</v>
      </c>
      <c r="I34" s="8">
        <f t="shared" si="0"/>
        <v>20</v>
      </c>
      <c r="J34" s="9">
        <v>0</v>
      </c>
      <c r="K34" s="10">
        <v>1</v>
      </c>
      <c r="L34" s="11">
        <v>0</v>
      </c>
      <c r="M34" s="9">
        <v>0</v>
      </c>
      <c r="N34" s="10">
        <v>2</v>
      </c>
      <c r="O34" s="11">
        <v>0</v>
      </c>
      <c r="P34" s="9">
        <v>0</v>
      </c>
      <c r="Q34" s="10">
        <v>3</v>
      </c>
      <c r="R34" s="11">
        <v>1</v>
      </c>
      <c r="S34" s="9">
        <v>0</v>
      </c>
      <c r="T34" s="10">
        <v>1</v>
      </c>
      <c r="U34" s="11">
        <v>1</v>
      </c>
      <c r="V34" s="9">
        <v>3</v>
      </c>
      <c r="W34" s="10">
        <v>1</v>
      </c>
      <c r="X34" s="11">
        <v>0</v>
      </c>
      <c r="Y34" s="9">
        <v>1</v>
      </c>
      <c r="Z34" s="10">
        <v>2</v>
      </c>
      <c r="AA34" s="11">
        <v>0</v>
      </c>
      <c r="AB34" s="9">
        <v>3</v>
      </c>
      <c r="AC34" s="10">
        <v>1</v>
      </c>
      <c r="AD34" s="11">
        <v>0</v>
      </c>
      <c r="AE34" s="8">
        <f t="shared" si="9"/>
        <v>7</v>
      </c>
      <c r="AF34" s="8">
        <f t="shared" si="10"/>
        <v>11</v>
      </c>
      <c r="AG34" s="8">
        <f t="shared" si="11"/>
        <v>2</v>
      </c>
      <c r="AH34" s="8">
        <f t="shared" si="12"/>
        <v>10</v>
      </c>
      <c r="AI34" s="8">
        <f t="shared" si="13"/>
        <v>7</v>
      </c>
      <c r="AJ34" s="8">
        <f t="shared" si="14"/>
        <v>3</v>
      </c>
      <c r="AK34">
        <f t="shared" si="5"/>
        <v>35</v>
      </c>
      <c r="AL34">
        <f t="shared" si="6"/>
        <v>55.000000000000007</v>
      </c>
      <c r="AM34">
        <f t="shared" si="7"/>
        <v>10</v>
      </c>
    </row>
    <row r="35" spans="1:95" ht="15.75" customHeight="1" x14ac:dyDescent="0.25">
      <c r="A35" t="s">
        <v>37</v>
      </c>
      <c r="B35">
        <v>5</v>
      </c>
      <c r="C35">
        <v>10</v>
      </c>
      <c r="D35" s="7" t="s">
        <v>45</v>
      </c>
      <c r="E35" s="7" t="s">
        <v>46</v>
      </c>
      <c r="F35">
        <v>2649</v>
      </c>
      <c r="G35">
        <v>2705.5</v>
      </c>
      <c r="H35">
        <v>2.5</v>
      </c>
      <c r="I35" s="4">
        <f>SUM(J35:AD35)</f>
        <v>14</v>
      </c>
      <c r="J35" s="1">
        <v>0</v>
      </c>
      <c r="K35" s="3">
        <v>0</v>
      </c>
      <c r="L35" s="2">
        <v>0</v>
      </c>
      <c r="M35" s="1">
        <v>1</v>
      </c>
      <c r="N35" s="3">
        <v>1</v>
      </c>
      <c r="O35" s="2">
        <v>0</v>
      </c>
      <c r="P35" s="1">
        <v>0</v>
      </c>
      <c r="Q35" s="3">
        <v>1</v>
      </c>
      <c r="R35" s="2">
        <v>0</v>
      </c>
      <c r="S35" s="1">
        <v>0</v>
      </c>
      <c r="T35" s="3">
        <v>0</v>
      </c>
      <c r="U35" s="2">
        <v>0</v>
      </c>
      <c r="V35" s="1">
        <v>0</v>
      </c>
      <c r="W35" s="3">
        <v>0</v>
      </c>
      <c r="X35" s="2">
        <v>0</v>
      </c>
      <c r="Y35" s="1">
        <v>0</v>
      </c>
      <c r="Z35" s="3">
        <v>0</v>
      </c>
      <c r="AA35" s="2">
        <v>0</v>
      </c>
      <c r="AB35" s="1">
        <v>5</v>
      </c>
      <c r="AC35" s="3">
        <v>3</v>
      </c>
      <c r="AD35" s="2">
        <v>3</v>
      </c>
      <c r="AE35">
        <f t="shared" si="9"/>
        <v>6</v>
      </c>
      <c r="AF35">
        <f t="shared" si="10"/>
        <v>5</v>
      </c>
      <c r="AG35">
        <f t="shared" si="11"/>
        <v>3</v>
      </c>
      <c r="AH35">
        <f t="shared" si="12"/>
        <v>1</v>
      </c>
      <c r="AI35">
        <f t="shared" si="13"/>
        <v>11</v>
      </c>
      <c r="AJ35">
        <f t="shared" si="14"/>
        <v>2</v>
      </c>
      <c r="AK35">
        <f t="shared" si="5"/>
        <v>42.857142857142854</v>
      </c>
      <c r="AL35">
        <f t="shared" si="6"/>
        <v>35.714285714285715</v>
      </c>
      <c r="AM35">
        <f t="shared" si="7"/>
        <v>21.428571428571427</v>
      </c>
    </row>
    <row r="36" spans="1:95" x14ac:dyDescent="0.25">
      <c r="A36" t="s">
        <v>37</v>
      </c>
      <c r="B36">
        <v>10</v>
      </c>
      <c r="C36">
        <v>15</v>
      </c>
      <c r="D36" s="7" t="s">
        <v>46</v>
      </c>
      <c r="E36" s="7" t="s">
        <v>48</v>
      </c>
      <c r="F36">
        <v>2705.5</v>
      </c>
      <c r="G36">
        <v>2754</v>
      </c>
      <c r="H36">
        <v>2.5</v>
      </c>
      <c r="I36" s="4">
        <f t="shared" ref="I36:I99" si="15">SUM(J36:AD36)</f>
        <v>8</v>
      </c>
      <c r="J36" s="1">
        <v>0</v>
      </c>
      <c r="K36" s="3">
        <v>1</v>
      </c>
      <c r="L36" s="2">
        <v>0</v>
      </c>
      <c r="M36" s="1">
        <v>1</v>
      </c>
      <c r="N36" s="3">
        <v>0</v>
      </c>
      <c r="O36" s="2">
        <v>0</v>
      </c>
      <c r="P36" s="1">
        <v>0</v>
      </c>
      <c r="Q36" s="3">
        <v>1</v>
      </c>
      <c r="R36" s="2">
        <v>2</v>
      </c>
      <c r="S36" s="1">
        <v>0</v>
      </c>
      <c r="T36" s="3">
        <v>0</v>
      </c>
      <c r="U36" s="2">
        <v>0</v>
      </c>
      <c r="V36" s="1">
        <v>1</v>
      </c>
      <c r="W36" s="3">
        <v>0</v>
      </c>
      <c r="X36" s="2">
        <v>0</v>
      </c>
      <c r="Y36" s="1">
        <v>0</v>
      </c>
      <c r="Z36" s="3">
        <v>0</v>
      </c>
      <c r="AA36" s="2">
        <v>0</v>
      </c>
      <c r="AB36" s="1">
        <v>0</v>
      </c>
      <c r="AC36" s="3">
        <v>0</v>
      </c>
      <c r="AD36" s="2">
        <v>2</v>
      </c>
      <c r="AE36">
        <f t="shared" si="9"/>
        <v>2</v>
      </c>
      <c r="AF36">
        <f t="shared" si="10"/>
        <v>2</v>
      </c>
      <c r="AG36">
        <f t="shared" si="11"/>
        <v>4</v>
      </c>
      <c r="AH36">
        <f t="shared" si="12"/>
        <v>4</v>
      </c>
      <c r="AI36">
        <f t="shared" si="13"/>
        <v>2</v>
      </c>
      <c r="AJ36">
        <f t="shared" si="14"/>
        <v>2</v>
      </c>
      <c r="AK36">
        <f t="shared" si="5"/>
        <v>25</v>
      </c>
      <c r="AL36">
        <f t="shared" si="6"/>
        <v>25</v>
      </c>
      <c r="AM36">
        <f t="shared" si="7"/>
        <v>50</v>
      </c>
    </row>
    <row r="37" spans="1:95" x14ac:dyDescent="0.25">
      <c r="A37" t="s">
        <v>37</v>
      </c>
      <c r="B37">
        <v>15</v>
      </c>
      <c r="C37">
        <v>20</v>
      </c>
      <c r="D37" s="7" t="s">
        <v>48</v>
      </c>
      <c r="E37" s="7" t="s">
        <v>49</v>
      </c>
      <c r="F37">
        <v>2754</v>
      </c>
      <c r="G37">
        <v>2800.5</v>
      </c>
      <c r="H37">
        <v>2.5</v>
      </c>
      <c r="I37" s="4">
        <f t="shared" si="15"/>
        <v>8</v>
      </c>
      <c r="J37" s="1">
        <v>1</v>
      </c>
      <c r="K37" s="3">
        <v>0</v>
      </c>
      <c r="L37" s="2">
        <v>0</v>
      </c>
      <c r="M37" s="1">
        <v>0</v>
      </c>
      <c r="N37" s="3">
        <v>0</v>
      </c>
      <c r="O37" s="2">
        <v>0</v>
      </c>
      <c r="P37" s="1">
        <v>0</v>
      </c>
      <c r="Q37" s="3">
        <v>0</v>
      </c>
      <c r="R37" s="2">
        <v>0</v>
      </c>
      <c r="S37" s="1">
        <v>1</v>
      </c>
      <c r="T37" s="3">
        <v>0</v>
      </c>
      <c r="U37" s="2">
        <v>0</v>
      </c>
      <c r="V37" s="1">
        <v>1</v>
      </c>
      <c r="W37" s="3">
        <v>0</v>
      </c>
      <c r="X37" s="2">
        <v>0</v>
      </c>
      <c r="Y37" s="1">
        <v>0</v>
      </c>
      <c r="Z37" s="3">
        <v>0</v>
      </c>
      <c r="AA37" s="2">
        <v>0</v>
      </c>
      <c r="AB37" s="1">
        <v>3</v>
      </c>
      <c r="AC37" s="3">
        <v>1</v>
      </c>
      <c r="AD37" s="2">
        <v>1</v>
      </c>
      <c r="AE37">
        <f t="shared" si="9"/>
        <v>6</v>
      </c>
      <c r="AF37">
        <f t="shared" si="10"/>
        <v>1</v>
      </c>
      <c r="AG37">
        <f t="shared" si="11"/>
        <v>1</v>
      </c>
      <c r="AH37">
        <f t="shared" si="12"/>
        <v>2</v>
      </c>
      <c r="AI37">
        <f t="shared" si="13"/>
        <v>5</v>
      </c>
      <c r="AJ37">
        <f t="shared" si="14"/>
        <v>1</v>
      </c>
      <c r="AK37">
        <f t="shared" si="5"/>
        <v>75</v>
      </c>
      <c r="AL37">
        <f t="shared" si="6"/>
        <v>12.5</v>
      </c>
      <c r="AM37">
        <f t="shared" si="7"/>
        <v>12.5</v>
      </c>
    </row>
    <row r="38" spans="1:95" s="5" customFormat="1" x14ac:dyDescent="0.25">
      <c r="A38" t="s">
        <v>37</v>
      </c>
      <c r="B38">
        <v>20</v>
      </c>
      <c r="C38">
        <v>25</v>
      </c>
      <c r="D38" s="7" t="s">
        <v>49</v>
      </c>
      <c r="E38" s="7" t="s">
        <v>50</v>
      </c>
      <c r="F38">
        <v>2800.5</v>
      </c>
      <c r="G38">
        <v>2846</v>
      </c>
      <c r="H38">
        <v>2.5</v>
      </c>
      <c r="I38" s="4">
        <f t="shared" si="15"/>
        <v>7</v>
      </c>
      <c r="J38" s="1">
        <v>0</v>
      </c>
      <c r="K38" s="3">
        <v>0</v>
      </c>
      <c r="L38" s="2">
        <v>0</v>
      </c>
      <c r="M38" s="1">
        <v>0</v>
      </c>
      <c r="N38" s="3">
        <v>0</v>
      </c>
      <c r="O38" s="2">
        <v>0</v>
      </c>
      <c r="P38" s="1">
        <v>1</v>
      </c>
      <c r="Q38" s="3">
        <v>0</v>
      </c>
      <c r="R38" s="2">
        <v>0</v>
      </c>
      <c r="S38" s="1">
        <v>0</v>
      </c>
      <c r="T38" s="3">
        <v>2</v>
      </c>
      <c r="U38" s="2">
        <v>0</v>
      </c>
      <c r="V38" s="1">
        <v>0</v>
      </c>
      <c r="W38" s="3">
        <v>1</v>
      </c>
      <c r="X38" s="2">
        <v>0</v>
      </c>
      <c r="Y38" s="1">
        <v>0</v>
      </c>
      <c r="Z38" s="3">
        <v>0</v>
      </c>
      <c r="AA38" s="2">
        <v>0</v>
      </c>
      <c r="AB38" s="1">
        <v>1</v>
      </c>
      <c r="AC38" s="3">
        <v>2</v>
      </c>
      <c r="AD38" s="2">
        <v>0</v>
      </c>
      <c r="AE38">
        <f t="shared" si="9"/>
        <v>2</v>
      </c>
      <c r="AF38">
        <f t="shared" si="10"/>
        <v>5</v>
      </c>
      <c r="AG38">
        <f t="shared" si="11"/>
        <v>0</v>
      </c>
      <c r="AH38">
        <f t="shared" si="12"/>
        <v>4</v>
      </c>
      <c r="AI38">
        <f t="shared" si="13"/>
        <v>3</v>
      </c>
      <c r="AJ38">
        <f t="shared" si="14"/>
        <v>0</v>
      </c>
      <c r="AK38">
        <f t="shared" si="5"/>
        <v>28.571428571428569</v>
      </c>
      <c r="AL38">
        <f t="shared" si="6"/>
        <v>71.428571428571431</v>
      </c>
      <c r="AM38">
        <f t="shared" si="7"/>
        <v>0</v>
      </c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</row>
    <row r="39" spans="1:95" x14ac:dyDescent="0.25">
      <c r="A39" t="s">
        <v>37</v>
      </c>
      <c r="B39">
        <v>25</v>
      </c>
      <c r="C39">
        <v>30</v>
      </c>
      <c r="D39" s="7" t="s">
        <v>50</v>
      </c>
      <c r="E39" s="7" t="s">
        <v>51</v>
      </c>
      <c r="F39">
        <v>2846</v>
      </c>
      <c r="G39">
        <v>2887</v>
      </c>
      <c r="H39">
        <v>2.5</v>
      </c>
      <c r="I39" s="4">
        <f t="shared" si="15"/>
        <v>9</v>
      </c>
      <c r="J39" s="1">
        <v>0</v>
      </c>
      <c r="K39" s="3">
        <v>0</v>
      </c>
      <c r="L39" s="2">
        <v>0</v>
      </c>
      <c r="M39" s="1">
        <v>0</v>
      </c>
      <c r="N39" s="3">
        <v>0</v>
      </c>
      <c r="O39" s="2">
        <v>0</v>
      </c>
      <c r="P39" s="1">
        <v>0</v>
      </c>
      <c r="Q39" s="3">
        <v>1</v>
      </c>
      <c r="R39" s="2">
        <v>0</v>
      </c>
      <c r="S39" s="1">
        <v>1</v>
      </c>
      <c r="T39" s="3">
        <v>0</v>
      </c>
      <c r="U39" s="2">
        <v>0</v>
      </c>
      <c r="V39" s="1">
        <v>0</v>
      </c>
      <c r="W39" s="3">
        <v>1</v>
      </c>
      <c r="X39" s="2">
        <v>0</v>
      </c>
      <c r="Y39" s="1">
        <v>0</v>
      </c>
      <c r="Z39" s="3">
        <v>0</v>
      </c>
      <c r="AA39" s="2">
        <v>0</v>
      </c>
      <c r="AB39" s="1">
        <v>3</v>
      </c>
      <c r="AC39" s="3">
        <v>2</v>
      </c>
      <c r="AD39" s="2">
        <v>1</v>
      </c>
      <c r="AE39">
        <f t="shared" si="9"/>
        <v>4</v>
      </c>
      <c r="AF39">
        <f t="shared" si="10"/>
        <v>4</v>
      </c>
      <c r="AG39">
        <f t="shared" si="11"/>
        <v>1</v>
      </c>
      <c r="AH39">
        <f t="shared" si="12"/>
        <v>3</v>
      </c>
      <c r="AI39">
        <f t="shared" si="13"/>
        <v>6</v>
      </c>
      <c r="AJ39">
        <f t="shared" si="14"/>
        <v>0</v>
      </c>
      <c r="AK39">
        <f t="shared" si="5"/>
        <v>44.444444444444443</v>
      </c>
      <c r="AL39">
        <f t="shared" si="6"/>
        <v>44.444444444444443</v>
      </c>
      <c r="AM39">
        <f t="shared" si="7"/>
        <v>11.111111111111111</v>
      </c>
    </row>
    <row r="40" spans="1:95" x14ac:dyDescent="0.25">
      <c r="A40" t="s">
        <v>37</v>
      </c>
      <c r="B40">
        <v>30</v>
      </c>
      <c r="C40">
        <v>35</v>
      </c>
      <c r="D40" s="7" t="s">
        <v>51</v>
      </c>
      <c r="E40" s="7" t="s">
        <v>52</v>
      </c>
      <c r="F40">
        <v>2887</v>
      </c>
      <c r="G40">
        <v>2934</v>
      </c>
      <c r="H40">
        <v>2.5</v>
      </c>
      <c r="I40" s="4">
        <f t="shared" si="15"/>
        <v>7</v>
      </c>
      <c r="J40" s="1">
        <v>0</v>
      </c>
      <c r="K40" s="3">
        <v>0</v>
      </c>
      <c r="L40" s="2">
        <v>0</v>
      </c>
      <c r="M40" s="1">
        <v>0</v>
      </c>
      <c r="N40" s="3">
        <v>0</v>
      </c>
      <c r="O40" s="2">
        <v>0</v>
      </c>
      <c r="P40" s="1">
        <v>0</v>
      </c>
      <c r="Q40" s="3">
        <v>1</v>
      </c>
      <c r="R40" s="2">
        <v>0</v>
      </c>
      <c r="S40" s="1">
        <v>0</v>
      </c>
      <c r="T40" s="3">
        <v>0</v>
      </c>
      <c r="U40" s="2">
        <v>0</v>
      </c>
      <c r="V40" s="1">
        <v>0</v>
      </c>
      <c r="W40" s="3">
        <v>1</v>
      </c>
      <c r="X40" s="2">
        <v>0</v>
      </c>
      <c r="Y40" s="1">
        <v>0</v>
      </c>
      <c r="Z40" s="3">
        <v>0</v>
      </c>
      <c r="AA40" s="2">
        <v>0</v>
      </c>
      <c r="AB40" s="1">
        <v>4</v>
      </c>
      <c r="AC40" s="3">
        <v>0</v>
      </c>
      <c r="AD40" s="2">
        <v>1</v>
      </c>
      <c r="AE40">
        <f t="shared" si="9"/>
        <v>4</v>
      </c>
      <c r="AF40">
        <f t="shared" si="10"/>
        <v>2</v>
      </c>
      <c r="AG40">
        <f t="shared" si="11"/>
        <v>1</v>
      </c>
      <c r="AH40">
        <f t="shared" si="12"/>
        <v>2</v>
      </c>
      <c r="AI40">
        <f t="shared" si="13"/>
        <v>5</v>
      </c>
      <c r="AJ40">
        <f t="shared" si="14"/>
        <v>0</v>
      </c>
      <c r="AK40">
        <f t="shared" si="5"/>
        <v>57.142857142857139</v>
      </c>
      <c r="AL40">
        <f t="shared" si="6"/>
        <v>28.571428571428569</v>
      </c>
      <c r="AM40">
        <f t="shared" si="7"/>
        <v>14.285714285714285</v>
      </c>
    </row>
    <row r="41" spans="1:95" x14ac:dyDescent="0.25">
      <c r="A41" t="s">
        <v>37</v>
      </c>
      <c r="B41">
        <v>35</v>
      </c>
      <c r="C41">
        <v>40</v>
      </c>
      <c r="D41" s="7" t="s">
        <v>52</v>
      </c>
      <c r="E41" s="7" t="s">
        <v>53</v>
      </c>
      <c r="F41">
        <v>2934</v>
      </c>
      <c r="G41">
        <v>2978.5</v>
      </c>
      <c r="H41">
        <v>2.5</v>
      </c>
      <c r="I41" s="4">
        <f t="shared" si="15"/>
        <v>9</v>
      </c>
      <c r="J41" s="1">
        <v>2</v>
      </c>
      <c r="K41" s="3">
        <v>0</v>
      </c>
      <c r="L41" s="2">
        <v>0</v>
      </c>
      <c r="M41" s="1">
        <v>0</v>
      </c>
      <c r="N41" s="3">
        <v>0</v>
      </c>
      <c r="O41" s="2">
        <v>0</v>
      </c>
      <c r="P41" s="1">
        <v>0</v>
      </c>
      <c r="Q41" s="3">
        <v>1</v>
      </c>
      <c r="R41" s="2">
        <v>0</v>
      </c>
      <c r="S41" s="1">
        <v>0</v>
      </c>
      <c r="T41" s="3">
        <v>0</v>
      </c>
      <c r="U41" s="2">
        <v>1</v>
      </c>
      <c r="V41" s="1">
        <v>0</v>
      </c>
      <c r="W41" s="3">
        <v>0</v>
      </c>
      <c r="X41" s="2">
        <v>0</v>
      </c>
      <c r="Y41" s="1">
        <v>0</v>
      </c>
      <c r="Z41" s="3">
        <v>0</v>
      </c>
      <c r="AA41" s="2">
        <v>0</v>
      </c>
      <c r="AB41" s="1">
        <v>2</v>
      </c>
      <c r="AC41" s="3">
        <v>1</v>
      </c>
      <c r="AD41" s="2">
        <v>2</v>
      </c>
      <c r="AE41">
        <f t="shared" si="9"/>
        <v>4</v>
      </c>
      <c r="AF41">
        <f t="shared" si="10"/>
        <v>2</v>
      </c>
      <c r="AG41">
        <f t="shared" si="11"/>
        <v>3</v>
      </c>
      <c r="AH41">
        <f t="shared" si="12"/>
        <v>2</v>
      </c>
      <c r="AI41">
        <f t="shared" si="13"/>
        <v>5</v>
      </c>
      <c r="AJ41">
        <f t="shared" si="14"/>
        <v>2</v>
      </c>
      <c r="AK41">
        <f t="shared" si="5"/>
        <v>44.444444444444443</v>
      </c>
      <c r="AL41">
        <f t="shared" si="6"/>
        <v>22.222222222222221</v>
      </c>
      <c r="AM41">
        <f t="shared" si="7"/>
        <v>33.333333333333329</v>
      </c>
    </row>
    <row r="42" spans="1:95" x14ac:dyDescent="0.25">
      <c r="A42" t="s">
        <v>37</v>
      </c>
      <c r="B42">
        <v>40</v>
      </c>
      <c r="C42">
        <v>45</v>
      </c>
      <c r="D42" s="7" t="s">
        <v>53</v>
      </c>
      <c r="E42" s="7" t="s">
        <v>54</v>
      </c>
      <c r="F42">
        <v>2978.5</v>
      </c>
      <c r="G42">
        <v>3026.5</v>
      </c>
      <c r="H42">
        <v>2.5</v>
      </c>
      <c r="I42" s="4">
        <f t="shared" si="15"/>
        <v>14</v>
      </c>
      <c r="J42" s="1">
        <v>0</v>
      </c>
      <c r="K42" s="3">
        <v>0</v>
      </c>
      <c r="L42" s="2">
        <v>1</v>
      </c>
      <c r="M42" s="1">
        <v>1</v>
      </c>
      <c r="N42" s="3">
        <v>0</v>
      </c>
      <c r="O42" s="2">
        <v>0</v>
      </c>
      <c r="P42" s="1">
        <v>1</v>
      </c>
      <c r="Q42" s="3">
        <v>1</v>
      </c>
      <c r="R42" s="2">
        <v>1</v>
      </c>
      <c r="S42" s="1">
        <v>0</v>
      </c>
      <c r="T42" s="3">
        <v>0</v>
      </c>
      <c r="U42" s="2">
        <v>0</v>
      </c>
      <c r="V42" s="1">
        <v>0</v>
      </c>
      <c r="W42" s="3">
        <v>0</v>
      </c>
      <c r="X42" s="2">
        <v>0</v>
      </c>
      <c r="Y42" s="1">
        <v>0</v>
      </c>
      <c r="Z42" s="3">
        <v>2</v>
      </c>
      <c r="AA42" s="2">
        <v>1</v>
      </c>
      <c r="AB42" s="1">
        <v>2</v>
      </c>
      <c r="AC42" s="3">
        <v>2</v>
      </c>
      <c r="AD42" s="2">
        <v>2</v>
      </c>
      <c r="AE42">
        <f t="shared" si="9"/>
        <v>4</v>
      </c>
      <c r="AF42">
        <f t="shared" si="10"/>
        <v>5</v>
      </c>
      <c r="AG42">
        <f t="shared" si="11"/>
        <v>5</v>
      </c>
      <c r="AH42">
        <f t="shared" si="12"/>
        <v>3</v>
      </c>
      <c r="AI42">
        <f t="shared" si="13"/>
        <v>9</v>
      </c>
      <c r="AJ42">
        <f t="shared" si="14"/>
        <v>2</v>
      </c>
      <c r="AK42">
        <f t="shared" si="5"/>
        <v>28.571428571428569</v>
      </c>
      <c r="AL42">
        <f t="shared" si="6"/>
        <v>35.714285714285715</v>
      </c>
      <c r="AM42">
        <f t="shared" si="7"/>
        <v>35.714285714285715</v>
      </c>
    </row>
    <row r="43" spans="1:95" x14ac:dyDescent="0.25">
      <c r="A43" t="s">
        <v>37</v>
      </c>
      <c r="B43">
        <v>45</v>
      </c>
      <c r="C43">
        <v>50</v>
      </c>
      <c r="D43" s="7" t="s">
        <v>54</v>
      </c>
      <c r="E43" s="7" t="s">
        <v>55</v>
      </c>
      <c r="F43">
        <v>3026.5</v>
      </c>
      <c r="G43">
        <v>3074</v>
      </c>
      <c r="H43">
        <v>2.5</v>
      </c>
      <c r="I43" s="4">
        <f t="shared" si="15"/>
        <v>7</v>
      </c>
      <c r="J43" s="1">
        <v>0</v>
      </c>
      <c r="K43" s="3">
        <v>0</v>
      </c>
      <c r="L43" s="2">
        <v>0</v>
      </c>
      <c r="M43" s="1">
        <v>0</v>
      </c>
      <c r="N43" s="3">
        <v>0</v>
      </c>
      <c r="O43" s="2">
        <v>0</v>
      </c>
      <c r="P43" s="1">
        <v>0</v>
      </c>
      <c r="Q43" s="3">
        <v>0</v>
      </c>
      <c r="R43" s="2">
        <v>0</v>
      </c>
      <c r="S43" s="1">
        <v>2</v>
      </c>
      <c r="T43" s="3">
        <v>0</v>
      </c>
      <c r="U43" s="2">
        <v>0</v>
      </c>
      <c r="V43" s="1">
        <v>0</v>
      </c>
      <c r="W43" s="3">
        <v>0</v>
      </c>
      <c r="X43" s="2">
        <v>0</v>
      </c>
      <c r="Y43" s="1">
        <v>1</v>
      </c>
      <c r="Z43" s="3">
        <v>0</v>
      </c>
      <c r="AA43" s="2">
        <v>0</v>
      </c>
      <c r="AB43" s="1">
        <v>2</v>
      </c>
      <c r="AC43" s="3">
        <v>0</v>
      </c>
      <c r="AD43" s="2">
        <v>2</v>
      </c>
      <c r="AE43">
        <f t="shared" si="9"/>
        <v>5</v>
      </c>
      <c r="AF43">
        <f t="shared" si="10"/>
        <v>0</v>
      </c>
      <c r="AG43">
        <f t="shared" si="11"/>
        <v>2</v>
      </c>
      <c r="AH43">
        <f t="shared" si="12"/>
        <v>2</v>
      </c>
      <c r="AI43">
        <f t="shared" si="13"/>
        <v>5</v>
      </c>
      <c r="AJ43">
        <f t="shared" si="14"/>
        <v>0</v>
      </c>
      <c r="AK43">
        <f t="shared" si="5"/>
        <v>71.428571428571431</v>
      </c>
      <c r="AL43">
        <f t="shared" si="6"/>
        <v>0</v>
      </c>
      <c r="AM43">
        <f t="shared" si="7"/>
        <v>28.571428571428569</v>
      </c>
    </row>
    <row r="44" spans="1:95" x14ac:dyDescent="0.25">
      <c r="A44" t="s">
        <v>37</v>
      </c>
      <c r="B44">
        <v>50</v>
      </c>
      <c r="C44">
        <v>55</v>
      </c>
      <c r="D44" s="7" t="s">
        <v>55</v>
      </c>
      <c r="E44" s="7" t="s">
        <v>56</v>
      </c>
      <c r="F44">
        <v>3074</v>
      </c>
      <c r="G44">
        <v>3123.5</v>
      </c>
      <c r="H44">
        <v>2.5</v>
      </c>
      <c r="I44" s="4">
        <f t="shared" si="15"/>
        <v>16</v>
      </c>
      <c r="J44" s="1">
        <v>1</v>
      </c>
      <c r="K44" s="3">
        <v>0</v>
      </c>
      <c r="L44" s="2">
        <v>0</v>
      </c>
      <c r="M44" s="1">
        <v>2</v>
      </c>
      <c r="N44" s="3">
        <v>0</v>
      </c>
      <c r="O44" s="2">
        <v>0</v>
      </c>
      <c r="P44" s="1">
        <v>0</v>
      </c>
      <c r="Q44" s="3">
        <v>0</v>
      </c>
      <c r="R44" s="2">
        <v>1</v>
      </c>
      <c r="S44" s="1">
        <v>0</v>
      </c>
      <c r="T44" s="3">
        <v>1</v>
      </c>
      <c r="U44" s="2">
        <v>1</v>
      </c>
      <c r="V44" s="1">
        <v>0</v>
      </c>
      <c r="W44" s="3">
        <v>1</v>
      </c>
      <c r="X44" s="2">
        <v>0</v>
      </c>
      <c r="Y44" s="1">
        <v>0</v>
      </c>
      <c r="Z44" s="3">
        <v>0</v>
      </c>
      <c r="AA44" s="2">
        <v>0</v>
      </c>
      <c r="AB44" s="1">
        <v>6</v>
      </c>
      <c r="AC44" s="3">
        <v>2</v>
      </c>
      <c r="AD44" s="2">
        <v>1</v>
      </c>
      <c r="AE44">
        <f t="shared" si="9"/>
        <v>9</v>
      </c>
      <c r="AF44">
        <f t="shared" si="10"/>
        <v>4</v>
      </c>
      <c r="AG44">
        <f t="shared" si="11"/>
        <v>3</v>
      </c>
      <c r="AH44">
        <f t="shared" si="12"/>
        <v>4</v>
      </c>
      <c r="AI44">
        <f t="shared" si="13"/>
        <v>9</v>
      </c>
      <c r="AJ44">
        <f t="shared" si="14"/>
        <v>3</v>
      </c>
      <c r="AK44">
        <f t="shared" si="5"/>
        <v>56.25</v>
      </c>
      <c r="AL44">
        <f t="shared" si="6"/>
        <v>25</v>
      </c>
      <c r="AM44">
        <f t="shared" si="7"/>
        <v>18.75</v>
      </c>
    </row>
    <row r="45" spans="1:95" x14ac:dyDescent="0.25">
      <c r="A45" t="s">
        <v>37</v>
      </c>
      <c r="B45">
        <v>55</v>
      </c>
      <c r="C45">
        <v>60</v>
      </c>
      <c r="D45" s="7" t="s">
        <v>56</v>
      </c>
      <c r="E45" s="7" t="s">
        <v>57</v>
      </c>
      <c r="F45">
        <v>3123.5</v>
      </c>
      <c r="G45">
        <v>3176</v>
      </c>
      <c r="H45">
        <v>2.5</v>
      </c>
      <c r="I45" s="4">
        <f t="shared" si="15"/>
        <v>50</v>
      </c>
      <c r="J45" s="1">
        <v>0</v>
      </c>
      <c r="K45" s="3">
        <v>2</v>
      </c>
      <c r="L45" s="2">
        <v>0</v>
      </c>
      <c r="M45" s="1">
        <v>0</v>
      </c>
      <c r="N45" s="3">
        <v>0</v>
      </c>
      <c r="O45" s="2">
        <v>0</v>
      </c>
      <c r="P45" s="1">
        <v>3</v>
      </c>
      <c r="Q45" s="3">
        <v>2</v>
      </c>
      <c r="R45" s="2">
        <v>8</v>
      </c>
      <c r="S45" s="1">
        <v>0</v>
      </c>
      <c r="T45" s="3">
        <v>0</v>
      </c>
      <c r="U45" s="2">
        <v>2</v>
      </c>
      <c r="V45" s="1">
        <v>1</v>
      </c>
      <c r="W45" s="3">
        <v>0</v>
      </c>
      <c r="X45" s="2">
        <v>1</v>
      </c>
      <c r="Y45" s="1">
        <v>1</v>
      </c>
      <c r="Z45" s="3">
        <v>0</v>
      </c>
      <c r="AA45" s="2">
        <v>0</v>
      </c>
      <c r="AB45" s="1">
        <v>4</v>
      </c>
      <c r="AC45" s="3">
        <v>9</v>
      </c>
      <c r="AD45" s="2">
        <v>17</v>
      </c>
      <c r="AE45">
        <f t="shared" si="9"/>
        <v>9</v>
      </c>
      <c r="AF45">
        <f t="shared" si="10"/>
        <v>13</v>
      </c>
      <c r="AG45">
        <f t="shared" si="11"/>
        <v>28</v>
      </c>
      <c r="AH45">
        <f t="shared" si="12"/>
        <v>17</v>
      </c>
      <c r="AI45">
        <f t="shared" si="13"/>
        <v>31</v>
      </c>
      <c r="AJ45">
        <f t="shared" si="14"/>
        <v>2</v>
      </c>
      <c r="AK45">
        <f t="shared" si="5"/>
        <v>18</v>
      </c>
      <c r="AL45">
        <f t="shared" si="6"/>
        <v>26</v>
      </c>
      <c r="AM45">
        <f t="shared" si="7"/>
        <v>56.000000000000007</v>
      </c>
    </row>
    <row r="46" spans="1:95" x14ac:dyDescent="0.25">
      <c r="A46" t="s">
        <v>37</v>
      </c>
      <c r="B46">
        <v>60</v>
      </c>
      <c r="C46">
        <v>65</v>
      </c>
      <c r="D46" s="7" t="s">
        <v>57</v>
      </c>
      <c r="E46" s="7" t="s">
        <v>58</v>
      </c>
      <c r="F46">
        <v>3176</v>
      </c>
      <c r="G46">
        <v>3223</v>
      </c>
      <c r="H46">
        <v>2.5</v>
      </c>
      <c r="I46" s="4">
        <f t="shared" si="15"/>
        <v>56</v>
      </c>
      <c r="J46" s="1">
        <v>2</v>
      </c>
      <c r="K46" s="3">
        <v>0</v>
      </c>
      <c r="L46" s="2">
        <v>0</v>
      </c>
      <c r="M46" s="1">
        <v>2</v>
      </c>
      <c r="N46" s="3">
        <v>1</v>
      </c>
      <c r="O46" s="2">
        <v>0</v>
      </c>
      <c r="P46" s="1">
        <v>1</v>
      </c>
      <c r="Q46" s="3">
        <v>0</v>
      </c>
      <c r="R46" s="2">
        <v>1</v>
      </c>
      <c r="S46" s="1">
        <v>1</v>
      </c>
      <c r="T46" s="3">
        <v>2</v>
      </c>
      <c r="U46" s="2">
        <v>7</v>
      </c>
      <c r="V46" s="1">
        <v>2</v>
      </c>
      <c r="W46" s="3">
        <v>2</v>
      </c>
      <c r="X46" s="2">
        <v>0</v>
      </c>
      <c r="Y46" s="1">
        <v>1</v>
      </c>
      <c r="Z46" s="3">
        <v>0</v>
      </c>
      <c r="AA46" s="2">
        <v>0</v>
      </c>
      <c r="AB46" s="1">
        <v>15</v>
      </c>
      <c r="AC46" s="3">
        <v>7</v>
      </c>
      <c r="AD46" s="2">
        <v>12</v>
      </c>
      <c r="AE46">
        <f t="shared" si="9"/>
        <v>24</v>
      </c>
      <c r="AF46">
        <f t="shared" si="10"/>
        <v>12</v>
      </c>
      <c r="AG46">
        <f t="shared" si="11"/>
        <v>20</v>
      </c>
      <c r="AH46">
        <f t="shared" si="12"/>
        <v>16</v>
      </c>
      <c r="AI46">
        <f t="shared" si="13"/>
        <v>35</v>
      </c>
      <c r="AJ46">
        <f t="shared" si="14"/>
        <v>5</v>
      </c>
      <c r="AK46">
        <f t="shared" si="5"/>
        <v>42.857142857142854</v>
      </c>
      <c r="AL46">
        <f t="shared" si="6"/>
        <v>21.428571428571427</v>
      </c>
      <c r="AM46">
        <f t="shared" si="7"/>
        <v>35.714285714285715</v>
      </c>
    </row>
    <row r="47" spans="1:95" x14ac:dyDescent="0.25">
      <c r="A47" t="s">
        <v>37</v>
      </c>
      <c r="B47">
        <v>65</v>
      </c>
      <c r="C47">
        <v>70</v>
      </c>
      <c r="D47" s="7" t="s">
        <v>58</v>
      </c>
      <c r="E47" s="7" t="s">
        <v>59</v>
      </c>
      <c r="F47">
        <v>3223</v>
      </c>
      <c r="G47">
        <v>3271.5</v>
      </c>
      <c r="H47">
        <v>2.5</v>
      </c>
      <c r="I47" s="4">
        <f t="shared" si="15"/>
        <v>39</v>
      </c>
      <c r="J47" s="1">
        <v>2</v>
      </c>
      <c r="K47" s="3">
        <v>0</v>
      </c>
      <c r="L47" s="2">
        <v>0</v>
      </c>
      <c r="M47" s="1">
        <v>0</v>
      </c>
      <c r="N47" s="3">
        <v>0</v>
      </c>
      <c r="O47" s="2">
        <v>0</v>
      </c>
      <c r="P47" s="1">
        <v>0</v>
      </c>
      <c r="Q47" s="3">
        <v>0</v>
      </c>
      <c r="R47" s="2">
        <v>3</v>
      </c>
      <c r="S47" s="1">
        <v>0</v>
      </c>
      <c r="T47" s="3">
        <v>0</v>
      </c>
      <c r="U47" s="2">
        <v>2</v>
      </c>
      <c r="V47" s="1">
        <v>1</v>
      </c>
      <c r="W47" s="3">
        <v>0</v>
      </c>
      <c r="X47" s="2">
        <v>2</v>
      </c>
      <c r="Y47" s="1">
        <v>0</v>
      </c>
      <c r="Z47" s="3">
        <v>0</v>
      </c>
      <c r="AA47" s="2">
        <v>1</v>
      </c>
      <c r="AB47" s="1">
        <v>6</v>
      </c>
      <c r="AC47" s="3">
        <v>11</v>
      </c>
      <c r="AD47" s="2">
        <v>11</v>
      </c>
      <c r="AE47">
        <f t="shared" si="9"/>
        <v>9</v>
      </c>
      <c r="AF47">
        <f t="shared" si="10"/>
        <v>11</v>
      </c>
      <c r="AG47">
        <f t="shared" si="11"/>
        <v>19</v>
      </c>
      <c r="AH47">
        <f t="shared" si="12"/>
        <v>8</v>
      </c>
      <c r="AI47">
        <f t="shared" si="13"/>
        <v>29</v>
      </c>
      <c r="AJ47">
        <f t="shared" si="14"/>
        <v>2</v>
      </c>
      <c r="AK47">
        <f t="shared" si="5"/>
        <v>23.076923076923077</v>
      </c>
      <c r="AL47">
        <f t="shared" si="6"/>
        <v>28.205128205128204</v>
      </c>
      <c r="AM47">
        <f t="shared" si="7"/>
        <v>48.717948717948715</v>
      </c>
    </row>
    <row r="48" spans="1:95" x14ac:dyDescent="0.25">
      <c r="A48" t="s">
        <v>37</v>
      </c>
      <c r="B48">
        <v>70</v>
      </c>
      <c r="C48">
        <v>75</v>
      </c>
      <c r="D48" s="7" t="s">
        <v>59</v>
      </c>
      <c r="E48" s="7" t="s">
        <v>60</v>
      </c>
      <c r="F48">
        <v>3271.5</v>
      </c>
      <c r="G48">
        <v>3320</v>
      </c>
      <c r="H48">
        <v>2.5</v>
      </c>
      <c r="I48" s="4">
        <f t="shared" si="15"/>
        <v>58</v>
      </c>
      <c r="J48" s="1">
        <v>1</v>
      </c>
      <c r="K48" s="3">
        <v>1</v>
      </c>
      <c r="L48" s="2">
        <v>0</v>
      </c>
      <c r="M48" s="1">
        <v>0</v>
      </c>
      <c r="N48" s="3">
        <v>1</v>
      </c>
      <c r="O48" s="2">
        <v>0</v>
      </c>
      <c r="P48" s="1">
        <v>1</v>
      </c>
      <c r="Q48" s="3">
        <v>5</v>
      </c>
      <c r="R48" s="2">
        <v>4</v>
      </c>
      <c r="S48" s="1">
        <v>1</v>
      </c>
      <c r="T48" s="3">
        <v>2</v>
      </c>
      <c r="U48" s="2">
        <v>5</v>
      </c>
      <c r="V48" s="1">
        <v>2</v>
      </c>
      <c r="W48" s="3">
        <v>0</v>
      </c>
      <c r="X48" s="2">
        <v>0</v>
      </c>
      <c r="Y48" s="1">
        <v>2</v>
      </c>
      <c r="Z48" s="3">
        <v>0</v>
      </c>
      <c r="AA48" s="2">
        <v>3</v>
      </c>
      <c r="AB48" s="1">
        <v>10</v>
      </c>
      <c r="AC48" s="3">
        <v>7</v>
      </c>
      <c r="AD48" s="2">
        <v>13</v>
      </c>
      <c r="AE48">
        <f t="shared" si="9"/>
        <v>17</v>
      </c>
      <c r="AF48">
        <f t="shared" si="10"/>
        <v>16</v>
      </c>
      <c r="AG48">
        <f t="shared" si="11"/>
        <v>25</v>
      </c>
      <c r="AH48">
        <f t="shared" si="12"/>
        <v>20</v>
      </c>
      <c r="AI48">
        <f t="shared" si="13"/>
        <v>35</v>
      </c>
      <c r="AJ48">
        <f t="shared" si="14"/>
        <v>3</v>
      </c>
      <c r="AK48">
        <f t="shared" si="5"/>
        <v>29.310344827586203</v>
      </c>
      <c r="AL48">
        <f t="shared" si="6"/>
        <v>27.586206896551722</v>
      </c>
      <c r="AM48">
        <f t="shared" si="7"/>
        <v>43.103448275862064</v>
      </c>
    </row>
    <row r="49" spans="1:95" x14ac:dyDescent="0.25">
      <c r="A49" t="s">
        <v>37</v>
      </c>
      <c r="B49">
        <v>75</v>
      </c>
      <c r="C49">
        <v>80</v>
      </c>
      <c r="D49" s="7" t="s">
        <v>60</v>
      </c>
      <c r="E49" s="7" t="s">
        <v>61</v>
      </c>
      <c r="F49">
        <v>3320</v>
      </c>
      <c r="G49">
        <v>3367</v>
      </c>
      <c r="H49">
        <v>2.5</v>
      </c>
      <c r="I49" s="4">
        <f t="shared" si="15"/>
        <v>21</v>
      </c>
      <c r="J49" s="1">
        <v>0</v>
      </c>
      <c r="K49" s="3">
        <v>0</v>
      </c>
      <c r="L49" s="2">
        <v>0</v>
      </c>
      <c r="M49" s="1">
        <v>0</v>
      </c>
      <c r="N49" s="3">
        <v>0</v>
      </c>
      <c r="O49" s="2">
        <v>0</v>
      </c>
      <c r="P49" s="1">
        <v>2</v>
      </c>
      <c r="Q49" s="3">
        <v>0</v>
      </c>
      <c r="R49" s="2">
        <v>1</v>
      </c>
      <c r="S49" s="1">
        <v>0</v>
      </c>
      <c r="T49" s="3">
        <v>0</v>
      </c>
      <c r="U49" s="2">
        <v>3</v>
      </c>
      <c r="V49" s="1">
        <v>0</v>
      </c>
      <c r="W49" s="3">
        <v>1</v>
      </c>
      <c r="X49" s="2">
        <v>0</v>
      </c>
      <c r="Y49" s="1">
        <v>0</v>
      </c>
      <c r="Z49" s="3">
        <v>1</v>
      </c>
      <c r="AA49" s="2">
        <v>2</v>
      </c>
      <c r="AB49" s="1">
        <v>2</v>
      </c>
      <c r="AC49" s="3">
        <v>5</v>
      </c>
      <c r="AD49" s="2">
        <v>4</v>
      </c>
      <c r="AE49">
        <f t="shared" ref="AE49:AE72" si="16">SUM(J49,M49,P49,S49,V49,Y49,AB49)</f>
        <v>4</v>
      </c>
      <c r="AF49">
        <f t="shared" ref="AF49:AF75" si="17">SUM(K49,N49,Q49,T49,W49,Z49,AC49)</f>
        <v>7</v>
      </c>
      <c r="AG49">
        <f t="shared" ref="AG49:AG76" si="18">SUM(L49,O49,R49,U49,X49,AA49,AD49)</f>
        <v>10</v>
      </c>
      <c r="AH49">
        <f t="shared" ref="AH49:AH76" si="19">SUM(P49:X49)</f>
        <v>7</v>
      </c>
      <c r="AI49">
        <f t="shared" ref="AI49:AI72" si="20">SUM(Y49:AD49)</f>
        <v>14</v>
      </c>
      <c r="AJ49">
        <f t="shared" ref="AJ49:AJ72" si="21">SUM(J49:O49)</f>
        <v>0</v>
      </c>
      <c r="AK49">
        <f t="shared" si="5"/>
        <v>19.047619047619047</v>
      </c>
      <c r="AL49">
        <f t="shared" si="6"/>
        <v>33.333333333333329</v>
      </c>
      <c r="AM49">
        <f t="shared" si="7"/>
        <v>47.619047619047613</v>
      </c>
    </row>
    <row r="50" spans="1:95" x14ac:dyDescent="0.25">
      <c r="A50" t="s">
        <v>37</v>
      </c>
      <c r="B50">
        <v>80</v>
      </c>
      <c r="C50">
        <v>85</v>
      </c>
      <c r="D50" s="7" t="s">
        <v>61</v>
      </c>
      <c r="E50" s="7" t="s">
        <v>62</v>
      </c>
      <c r="F50">
        <v>3367</v>
      </c>
      <c r="G50">
        <v>3415</v>
      </c>
      <c r="H50">
        <v>2.5</v>
      </c>
      <c r="I50" s="4">
        <f t="shared" si="15"/>
        <v>19</v>
      </c>
      <c r="J50" s="1">
        <v>0</v>
      </c>
      <c r="K50" s="3">
        <v>0</v>
      </c>
      <c r="L50" s="2">
        <v>0</v>
      </c>
      <c r="M50" s="1">
        <v>2</v>
      </c>
      <c r="N50" s="3">
        <v>0</v>
      </c>
      <c r="O50" s="2">
        <v>0</v>
      </c>
      <c r="P50" s="1">
        <v>1</v>
      </c>
      <c r="Q50" s="3">
        <v>1</v>
      </c>
      <c r="R50" s="2">
        <v>1</v>
      </c>
      <c r="S50" s="1">
        <v>0</v>
      </c>
      <c r="T50" s="3">
        <v>1</v>
      </c>
      <c r="U50" s="2">
        <v>3</v>
      </c>
      <c r="V50" s="1">
        <v>0</v>
      </c>
      <c r="W50" s="3">
        <v>1</v>
      </c>
      <c r="X50" s="2">
        <v>1</v>
      </c>
      <c r="Y50" s="1">
        <v>0</v>
      </c>
      <c r="Z50" s="3">
        <v>0</v>
      </c>
      <c r="AA50" s="2">
        <v>1</v>
      </c>
      <c r="AB50" s="1">
        <v>3</v>
      </c>
      <c r="AC50" s="3">
        <v>1</v>
      </c>
      <c r="AD50" s="2">
        <v>3</v>
      </c>
      <c r="AE50">
        <f t="shared" si="16"/>
        <v>6</v>
      </c>
      <c r="AF50">
        <f t="shared" si="17"/>
        <v>4</v>
      </c>
      <c r="AG50">
        <f t="shared" si="18"/>
        <v>9</v>
      </c>
      <c r="AH50">
        <f t="shared" si="19"/>
        <v>9</v>
      </c>
      <c r="AI50">
        <f t="shared" si="20"/>
        <v>8</v>
      </c>
      <c r="AJ50">
        <f t="shared" si="21"/>
        <v>2</v>
      </c>
      <c r="AK50">
        <f t="shared" si="5"/>
        <v>31.578947368421051</v>
      </c>
      <c r="AL50">
        <f t="shared" si="6"/>
        <v>21.052631578947366</v>
      </c>
      <c r="AM50">
        <f t="shared" si="7"/>
        <v>47.368421052631575</v>
      </c>
    </row>
    <row r="51" spans="1:95" x14ac:dyDescent="0.25">
      <c r="A51" t="s">
        <v>37</v>
      </c>
      <c r="B51">
        <v>85</v>
      </c>
      <c r="C51">
        <v>90</v>
      </c>
      <c r="D51" s="7" t="s">
        <v>62</v>
      </c>
      <c r="E51" s="7" t="s">
        <v>63</v>
      </c>
      <c r="F51">
        <v>3415</v>
      </c>
      <c r="G51">
        <v>3459</v>
      </c>
      <c r="H51">
        <v>2.5</v>
      </c>
      <c r="I51" s="4">
        <f t="shared" si="15"/>
        <v>24</v>
      </c>
      <c r="J51" s="1">
        <v>1</v>
      </c>
      <c r="K51" s="3">
        <v>0</v>
      </c>
      <c r="L51" s="2">
        <v>0</v>
      </c>
      <c r="M51" s="1">
        <v>1</v>
      </c>
      <c r="N51" s="3">
        <v>0</v>
      </c>
      <c r="O51" s="2">
        <v>0</v>
      </c>
      <c r="P51" s="1">
        <v>0</v>
      </c>
      <c r="Q51" s="3">
        <v>1</v>
      </c>
      <c r="R51" s="2">
        <v>0</v>
      </c>
      <c r="S51" s="1">
        <v>1</v>
      </c>
      <c r="T51" s="3">
        <v>0</v>
      </c>
      <c r="U51" s="2">
        <v>2</v>
      </c>
      <c r="V51" s="1">
        <v>0</v>
      </c>
      <c r="W51" s="3">
        <v>1</v>
      </c>
      <c r="X51" s="2">
        <v>2</v>
      </c>
      <c r="Y51" s="1">
        <v>0</v>
      </c>
      <c r="Z51" s="3">
        <v>0</v>
      </c>
      <c r="AA51" s="2">
        <v>0</v>
      </c>
      <c r="AB51" s="1">
        <v>4</v>
      </c>
      <c r="AC51" s="3">
        <v>6</v>
      </c>
      <c r="AD51" s="2">
        <v>5</v>
      </c>
      <c r="AE51">
        <f t="shared" si="16"/>
        <v>7</v>
      </c>
      <c r="AF51">
        <f t="shared" si="17"/>
        <v>8</v>
      </c>
      <c r="AG51">
        <f t="shared" si="18"/>
        <v>9</v>
      </c>
      <c r="AH51">
        <f t="shared" si="19"/>
        <v>7</v>
      </c>
      <c r="AI51">
        <f t="shared" si="20"/>
        <v>15</v>
      </c>
      <c r="AJ51">
        <f t="shared" si="21"/>
        <v>2</v>
      </c>
      <c r="AK51">
        <f t="shared" si="5"/>
        <v>29.166666666666668</v>
      </c>
      <c r="AL51">
        <f t="shared" si="6"/>
        <v>33.333333333333329</v>
      </c>
      <c r="AM51">
        <f t="shared" si="7"/>
        <v>37.5</v>
      </c>
    </row>
    <row r="52" spans="1:95" s="8" customFormat="1" x14ac:dyDescent="0.25">
      <c r="A52" s="8" t="s">
        <v>38</v>
      </c>
      <c r="B52" s="8">
        <v>10</v>
      </c>
      <c r="C52" s="8">
        <v>15</v>
      </c>
      <c r="D52" s="8">
        <v>258</v>
      </c>
      <c r="E52" s="8">
        <v>263</v>
      </c>
      <c r="F52" s="8">
        <v>3611</v>
      </c>
      <c r="G52" s="8">
        <v>3659</v>
      </c>
      <c r="H52" s="8">
        <v>2.5</v>
      </c>
      <c r="I52" s="8">
        <f t="shared" si="15"/>
        <v>8</v>
      </c>
      <c r="J52" s="9">
        <v>1</v>
      </c>
      <c r="K52" s="10">
        <v>0</v>
      </c>
      <c r="L52" s="11">
        <v>0</v>
      </c>
      <c r="M52" s="9">
        <v>0</v>
      </c>
      <c r="N52" s="10">
        <v>0</v>
      </c>
      <c r="O52" s="11">
        <v>1</v>
      </c>
      <c r="P52" s="9">
        <v>1</v>
      </c>
      <c r="Q52" s="10">
        <v>0</v>
      </c>
      <c r="R52" s="11">
        <v>0</v>
      </c>
      <c r="S52" s="9">
        <v>1</v>
      </c>
      <c r="T52" s="10">
        <v>0</v>
      </c>
      <c r="U52" s="11">
        <v>1</v>
      </c>
      <c r="V52" s="9">
        <v>1</v>
      </c>
      <c r="W52" s="10">
        <v>0</v>
      </c>
      <c r="X52" s="11">
        <v>0</v>
      </c>
      <c r="Y52" s="9">
        <v>0</v>
      </c>
      <c r="Z52" s="10">
        <v>0</v>
      </c>
      <c r="AA52" s="11">
        <v>0</v>
      </c>
      <c r="AB52" s="9">
        <v>1</v>
      </c>
      <c r="AC52" s="10">
        <v>1</v>
      </c>
      <c r="AD52" s="11">
        <v>0</v>
      </c>
      <c r="AE52" s="8">
        <f t="shared" si="16"/>
        <v>5</v>
      </c>
      <c r="AF52" s="8">
        <f t="shared" si="17"/>
        <v>1</v>
      </c>
      <c r="AG52" s="8">
        <f t="shared" si="18"/>
        <v>2</v>
      </c>
      <c r="AH52" s="8">
        <f t="shared" si="19"/>
        <v>4</v>
      </c>
      <c r="AI52" s="8">
        <f t="shared" si="20"/>
        <v>2</v>
      </c>
      <c r="AJ52" s="8">
        <f t="shared" si="21"/>
        <v>2</v>
      </c>
      <c r="AK52">
        <f t="shared" si="5"/>
        <v>62.5</v>
      </c>
      <c r="AL52">
        <f t="shared" si="6"/>
        <v>12.5</v>
      </c>
      <c r="AM52">
        <f t="shared" si="7"/>
        <v>25</v>
      </c>
    </row>
    <row r="53" spans="1:95" x14ac:dyDescent="0.25">
      <c r="A53" t="s">
        <v>38</v>
      </c>
      <c r="B53">
        <v>15</v>
      </c>
      <c r="C53">
        <v>20</v>
      </c>
      <c r="D53">
        <v>263</v>
      </c>
      <c r="E53">
        <v>268</v>
      </c>
      <c r="F53">
        <v>3659</v>
      </c>
      <c r="G53">
        <v>3708</v>
      </c>
      <c r="H53">
        <v>2.5</v>
      </c>
      <c r="I53" s="4">
        <f t="shared" si="15"/>
        <v>20</v>
      </c>
      <c r="J53" s="1">
        <v>2</v>
      </c>
      <c r="K53" s="3">
        <v>0</v>
      </c>
      <c r="L53" s="2">
        <v>0</v>
      </c>
      <c r="M53" s="1">
        <v>2</v>
      </c>
      <c r="N53" s="3">
        <v>2</v>
      </c>
      <c r="O53" s="2">
        <v>0</v>
      </c>
      <c r="P53" s="1">
        <v>0</v>
      </c>
      <c r="Q53" s="3">
        <v>2</v>
      </c>
      <c r="R53" s="2">
        <v>0</v>
      </c>
      <c r="S53" s="1">
        <v>0</v>
      </c>
      <c r="T53" s="3">
        <v>4</v>
      </c>
      <c r="U53" s="2">
        <v>5</v>
      </c>
      <c r="V53" s="1">
        <v>0</v>
      </c>
      <c r="W53" s="3">
        <v>0</v>
      </c>
      <c r="X53" s="2">
        <v>1</v>
      </c>
      <c r="Y53" s="1">
        <v>0</v>
      </c>
      <c r="Z53" s="3">
        <v>0</v>
      </c>
      <c r="AA53" s="2">
        <v>0</v>
      </c>
      <c r="AB53" s="1">
        <v>1</v>
      </c>
      <c r="AC53" s="3">
        <v>0</v>
      </c>
      <c r="AD53" s="2">
        <v>1</v>
      </c>
      <c r="AE53">
        <f t="shared" si="16"/>
        <v>5</v>
      </c>
      <c r="AF53">
        <f t="shared" si="17"/>
        <v>8</v>
      </c>
      <c r="AG53">
        <f t="shared" si="18"/>
        <v>7</v>
      </c>
      <c r="AH53">
        <f t="shared" si="19"/>
        <v>12</v>
      </c>
      <c r="AI53">
        <f t="shared" si="20"/>
        <v>2</v>
      </c>
      <c r="AJ53">
        <f t="shared" si="21"/>
        <v>6</v>
      </c>
      <c r="AK53">
        <f t="shared" si="5"/>
        <v>25</v>
      </c>
      <c r="AL53">
        <f t="shared" si="6"/>
        <v>40</v>
      </c>
      <c r="AM53">
        <f t="shared" si="7"/>
        <v>35</v>
      </c>
    </row>
    <row r="54" spans="1:95" x14ac:dyDescent="0.25">
      <c r="A54" t="s">
        <v>38</v>
      </c>
      <c r="B54">
        <v>20</v>
      </c>
      <c r="C54">
        <v>25</v>
      </c>
      <c r="D54">
        <v>268</v>
      </c>
      <c r="E54">
        <v>273</v>
      </c>
      <c r="F54">
        <v>3708</v>
      </c>
      <c r="G54">
        <v>3761</v>
      </c>
      <c r="H54">
        <v>2.5</v>
      </c>
      <c r="I54" s="4">
        <f t="shared" si="15"/>
        <v>12</v>
      </c>
      <c r="J54" s="1">
        <v>1</v>
      </c>
      <c r="K54" s="3">
        <v>0</v>
      </c>
      <c r="L54" s="2">
        <v>0</v>
      </c>
      <c r="M54" s="1">
        <v>3</v>
      </c>
      <c r="N54" s="3">
        <v>1</v>
      </c>
      <c r="O54" s="2">
        <v>0</v>
      </c>
      <c r="P54" s="1">
        <v>0</v>
      </c>
      <c r="Q54" s="3">
        <v>0</v>
      </c>
      <c r="R54" s="2">
        <v>0</v>
      </c>
      <c r="S54" s="1">
        <v>0</v>
      </c>
      <c r="T54" s="3">
        <v>1</v>
      </c>
      <c r="U54" s="2">
        <v>2</v>
      </c>
      <c r="V54" s="1">
        <v>0</v>
      </c>
      <c r="W54" s="3">
        <v>0</v>
      </c>
      <c r="X54" s="2">
        <v>0</v>
      </c>
      <c r="Y54" s="1">
        <v>0</v>
      </c>
      <c r="Z54" s="3">
        <v>0</v>
      </c>
      <c r="AA54" s="2">
        <v>0</v>
      </c>
      <c r="AB54" s="1">
        <v>1</v>
      </c>
      <c r="AC54" s="3">
        <v>1</v>
      </c>
      <c r="AD54" s="2">
        <v>2</v>
      </c>
      <c r="AE54">
        <f t="shared" si="16"/>
        <v>5</v>
      </c>
      <c r="AF54">
        <f t="shared" si="17"/>
        <v>3</v>
      </c>
      <c r="AG54">
        <f t="shared" si="18"/>
        <v>4</v>
      </c>
      <c r="AH54">
        <f t="shared" si="19"/>
        <v>3</v>
      </c>
      <c r="AI54">
        <f t="shared" si="20"/>
        <v>4</v>
      </c>
      <c r="AJ54">
        <f t="shared" si="21"/>
        <v>5</v>
      </c>
      <c r="AK54">
        <f t="shared" si="5"/>
        <v>41.666666666666671</v>
      </c>
      <c r="AL54">
        <f t="shared" si="6"/>
        <v>25</v>
      </c>
      <c r="AM54">
        <f t="shared" si="7"/>
        <v>33.333333333333329</v>
      </c>
    </row>
    <row r="55" spans="1:95" x14ac:dyDescent="0.25">
      <c r="A55" t="s">
        <v>38</v>
      </c>
      <c r="B55">
        <v>25</v>
      </c>
      <c r="C55">
        <v>30</v>
      </c>
      <c r="D55">
        <v>273</v>
      </c>
      <c r="E55">
        <v>278</v>
      </c>
      <c r="F55">
        <v>3761</v>
      </c>
      <c r="G55">
        <v>3811</v>
      </c>
      <c r="H55">
        <v>2.5</v>
      </c>
      <c r="I55" s="4">
        <f t="shared" si="15"/>
        <v>19</v>
      </c>
      <c r="J55" s="1">
        <v>0</v>
      </c>
      <c r="K55" s="3">
        <v>1</v>
      </c>
      <c r="L55" s="2">
        <v>0</v>
      </c>
      <c r="M55" s="1">
        <v>2</v>
      </c>
      <c r="N55" s="3">
        <v>0</v>
      </c>
      <c r="O55" s="2">
        <v>0</v>
      </c>
      <c r="P55" s="1">
        <v>2</v>
      </c>
      <c r="Q55" s="3">
        <v>0</v>
      </c>
      <c r="R55" s="2">
        <v>0</v>
      </c>
      <c r="S55" s="1">
        <v>6</v>
      </c>
      <c r="T55" s="3">
        <v>3</v>
      </c>
      <c r="U55" s="2">
        <v>0</v>
      </c>
      <c r="V55" s="1">
        <v>0</v>
      </c>
      <c r="W55" s="3">
        <v>0</v>
      </c>
      <c r="X55" s="2">
        <v>1</v>
      </c>
      <c r="Y55" s="1">
        <v>0</v>
      </c>
      <c r="Z55" s="3">
        <v>0</v>
      </c>
      <c r="AA55" s="2">
        <v>1</v>
      </c>
      <c r="AB55" s="1">
        <v>1</v>
      </c>
      <c r="AC55" s="3">
        <v>1</v>
      </c>
      <c r="AD55" s="2">
        <v>1</v>
      </c>
      <c r="AE55">
        <f t="shared" si="16"/>
        <v>11</v>
      </c>
      <c r="AF55">
        <f t="shared" si="17"/>
        <v>5</v>
      </c>
      <c r="AG55">
        <f t="shared" si="18"/>
        <v>3</v>
      </c>
      <c r="AH55">
        <f t="shared" si="19"/>
        <v>12</v>
      </c>
      <c r="AI55">
        <f t="shared" si="20"/>
        <v>4</v>
      </c>
      <c r="AJ55">
        <f t="shared" si="21"/>
        <v>3</v>
      </c>
      <c r="AK55">
        <f t="shared" si="5"/>
        <v>57.894736842105267</v>
      </c>
      <c r="AL55">
        <f t="shared" si="6"/>
        <v>26.315789473684209</v>
      </c>
      <c r="AM55">
        <f t="shared" si="7"/>
        <v>15.789473684210526</v>
      </c>
    </row>
    <row r="56" spans="1:95" s="5" customFormat="1" x14ac:dyDescent="0.25">
      <c r="A56" t="s">
        <v>38</v>
      </c>
      <c r="B56">
        <v>30</v>
      </c>
      <c r="C56">
        <v>35</v>
      </c>
      <c r="D56">
        <v>278</v>
      </c>
      <c r="E56">
        <v>283</v>
      </c>
      <c r="F56">
        <v>3811</v>
      </c>
      <c r="G56">
        <v>3861</v>
      </c>
      <c r="H56">
        <v>2.5</v>
      </c>
      <c r="I56" s="4">
        <f t="shared" si="15"/>
        <v>24</v>
      </c>
      <c r="J56" s="1">
        <v>1</v>
      </c>
      <c r="K56" s="3">
        <v>0</v>
      </c>
      <c r="L56" s="2">
        <v>0</v>
      </c>
      <c r="M56" s="1">
        <v>2</v>
      </c>
      <c r="N56" s="3">
        <v>1</v>
      </c>
      <c r="O56" s="2">
        <v>0</v>
      </c>
      <c r="P56" s="1">
        <v>1</v>
      </c>
      <c r="Q56" s="3">
        <v>4</v>
      </c>
      <c r="R56" s="2">
        <v>4</v>
      </c>
      <c r="S56" s="1">
        <v>1</v>
      </c>
      <c r="T56" s="3">
        <v>0</v>
      </c>
      <c r="U56" s="2">
        <v>4</v>
      </c>
      <c r="V56" s="1">
        <v>0</v>
      </c>
      <c r="W56" s="3">
        <v>0</v>
      </c>
      <c r="X56" s="2">
        <v>0</v>
      </c>
      <c r="Y56" s="1">
        <v>0</v>
      </c>
      <c r="Z56" s="3">
        <v>0</v>
      </c>
      <c r="AA56" s="2">
        <v>1</v>
      </c>
      <c r="AB56" s="1">
        <v>3</v>
      </c>
      <c r="AC56" s="3">
        <v>1</v>
      </c>
      <c r="AD56" s="2">
        <v>1</v>
      </c>
      <c r="AE56">
        <f t="shared" si="16"/>
        <v>8</v>
      </c>
      <c r="AF56">
        <f t="shared" si="17"/>
        <v>6</v>
      </c>
      <c r="AG56">
        <f t="shared" si="18"/>
        <v>10</v>
      </c>
      <c r="AH56">
        <f t="shared" si="19"/>
        <v>14</v>
      </c>
      <c r="AI56">
        <f t="shared" si="20"/>
        <v>6</v>
      </c>
      <c r="AJ56">
        <f t="shared" si="21"/>
        <v>4</v>
      </c>
      <c r="AK56">
        <f t="shared" si="5"/>
        <v>33.333333333333329</v>
      </c>
      <c r="AL56">
        <f t="shared" si="6"/>
        <v>25</v>
      </c>
      <c r="AM56">
        <f t="shared" si="7"/>
        <v>41.666666666666671</v>
      </c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</row>
    <row r="57" spans="1:95" x14ac:dyDescent="0.25">
      <c r="A57" t="s">
        <v>38</v>
      </c>
      <c r="B57">
        <v>35</v>
      </c>
      <c r="C57">
        <v>40</v>
      </c>
      <c r="D57">
        <v>283</v>
      </c>
      <c r="E57">
        <v>288</v>
      </c>
      <c r="F57">
        <v>3861</v>
      </c>
      <c r="G57">
        <v>3908</v>
      </c>
      <c r="H57">
        <v>2.5</v>
      </c>
      <c r="I57" s="4">
        <f t="shared" si="15"/>
        <v>3</v>
      </c>
      <c r="J57" s="1">
        <v>0</v>
      </c>
      <c r="K57" s="3">
        <v>0</v>
      </c>
      <c r="L57" s="2">
        <v>0</v>
      </c>
      <c r="M57" s="1">
        <v>0</v>
      </c>
      <c r="N57" s="3">
        <v>2</v>
      </c>
      <c r="O57" s="2">
        <v>0</v>
      </c>
      <c r="P57" s="1">
        <v>1</v>
      </c>
      <c r="Q57" s="3">
        <v>0</v>
      </c>
      <c r="R57" s="2">
        <v>0</v>
      </c>
      <c r="S57" s="1">
        <v>0</v>
      </c>
      <c r="T57" s="3">
        <v>0</v>
      </c>
      <c r="U57" s="2">
        <v>0</v>
      </c>
      <c r="V57" s="1">
        <v>0</v>
      </c>
      <c r="W57" s="3">
        <v>0</v>
      </c>
      <c r="X57" s="2">
        <v>0</v>
      </c>
      <c r="Y57" s="1">
        <v>0</v>
      </c>
      <c r="Z57" s="3">
        <v>0</v>
      </c>
      <c r="AA57" s="2">
        <v>0</v>
      </c>
      <c r="AB57" s="1">
        <v>0</v>
      </c>
      <c r="AC57" s="3">
        <v>0</v>
      </c>
      <c r="AD57" s="2">
        <v>0</v>
      </c>
      <c r="AE57">
        <f t="shared" si="16"/>
        <v>1</v>
      </c>
      <c r="AF57">
        <f t="shared" si="17"/>
        <v>2</v>
      </c>
      <c r="AG57">
        <f t="shared" si="18"/>
        <v>0</v>
      </c>
      <c r="AH57">
        <f t="shared" si="19"/>
        <v>1</v>
      </c>
      <c r="AI57">
        <f t="shared" si="20"/>
        <v>0</v>
      </c>
      <c r="AJ57">
        <f t="shared" si="21"/>
        <v>2</v>
      </c>
      <c r="AK57">
        <f t="shared" si="5"/>
        <v>33.333333333333329</v>
      </c>
      <c r="AL57">
        <f t="shared" si="6"/>
        <v>66.666666666666657</v>
      </c>
      <c r="AM57">
        <f t="shared" si="7"/>
        <v>0</v>
      </c>
    </row>
    <row r="58" spans="1:95" x14ac:dyDescent="0.25">
      <c r="A58" t="s">
        <v>38</v>
      </c>
      <c r="B58">
        <v>40</v>
      </c>
      <c r="C58">
        <v>45</v>
      </c>
      <c r="D58">
        <v>288</v>
      </c>
      <c r="E58">
        <v>293</v>
      </c>
      <c r="F58">
        <v>3908</v>
      </c>
      <c r="G58">
        <v>3958</v>
      </c>
      <c r="H58">
        <v>2.5</v>
      </c>
      <c r="I58" s="4">
        <f t="shared" si="15"/>
        <v>20</v>
      </c>
      <c r="J58" s="1">
        <v>0</v>
      </c>
      <c r="K58" s="3">
        <v>0</v>
      </c>
      <c r="L58" s="2">
        <v>0</v>
      </c>
      <c r="M58" s="1">
        <v>0</v>
      </c>
      <c r="N58" s="3">
        <v>0</v>
      </c>
      <c r="O58" s="2">
        <v>0</v>
      </c>
      <c r="P58" s="1">
        <v>2</v>
      </c>
      <c r="Q58" s="3">
        <v>3</v>
      </c>
      <c r="R58" s="2">
        <v>6</v>
      </c>
      <c r="S58" s="1">
        <v>0</v>
      </c>
      <c r="T58" s="3">
        <v>4</v>
      </c>
      <c r="U58" s="2">
        <v>2</v>
      </c>
      <c r="V58" s="1">
        <v>0</v>
      </c>
      <c r="W58" s="3">
        <v>0</v>
      </c>
      <c r="X58" s="2">
        <v>0</v>
      </c>
      <c r="Y58" s="1">
        <v>0</v>
      </c>
      <c r="Z58" s="3">
        <v>0</v>
      </c>
      <c r="AA58" s="2">
        <v>0</v>
      </c>
      <c r="AB58" s="1">
        <v>0</v>
      </c>
      <c r="AC58" s="3">
        <v>2</v>
      </c>
      <c r="AD58" s="2">
        <v>1</v>
      </c>
      <c r="AE58">
        <f t="shared" si="16"/>
        <v>2</v>
      </c>
      <c r="AF58">
        <f t="shared" si="17"/>
        <v>9</v>
      </c>
      <c r="AG58">
        <f t="shared" si="18"/>
        <v>9</v>
      </c>
      <c r="AH58">
        <f t="shared" si="19"/>
        <v>17</v>
      </c>
      <c r="AI58">
        <f t="shared" si="20"/>
        <v>3</v>
      </c>
      <c r="AJ58">
        <f t="shared" si="21"/>
        <v>0</v>
      </c>
      <c r="AK58">
        <f t="shared" si="5"/>
        <v>10</v>
      </c>
      <c r="AL58">
        <f t="shared" si="6"/>
        <v>45</v>
      </c>
      <c r="AM58">
        <f t="shared" si="7"/>
        <v>45</v>
      </c>
    </row>
    <row r="59" spans="1:95" x14ac:dyDescent="0.25">
      <c r="A59" t="s">
        <v>38</v>
      </c>
      <c r="B59">
        <v>45</v>
      </c>
      <c r="C59">
        <v>50</v>
      </c>
      <c r="D59">
        <v>293</v>
      </c>
      <c r="E59">
        <v>298</v>
      </c>
      <c r="F59">
        <v>3958</v>
      </c>
      <c r="G59">
        <v>4005</v>
      </c>
      <c r="H59">
        <v>2.5</v>
      </c>
      <c r="I59" s="4">
        <f t="shared" si="15"/>
        <v>26</v>
      </c>
      <c r="J59" s="1">
        <v>2</v>
      </c>
      <c r="K59" s="3">
        <v>0</v>
      </c>
      <c r="L59" s="2">
        <v>0</v>
      </c>
      <c r="M59" s="1">
        <v>1</v>
      </c>
      <c r="N59" s="3">
        <v>0</v>
      </c>
      <c r="O59" s="2">
        <v>0</v>
      </c>
      <c r="P59" s="1">
        <v>2</v>
      </c>
      <c r="Q59" s="3">
        <v>0</v>
      </c>
      <c r="R59" s="2">
        <v>5</v>
      </c>
      <c r="S59" s="1">
        <v>0</v>
      </c>
      <c r="T59" s="3">
        <v>4</v>
      </c>
      <c r="U59" s="2">
        <v>5</v>
      </c>
      <c r="V59" s="1">
        <v>0</v>
      </c>
      <c r="W59" s="3">
        <v>0</v>
      </c>
      <c r="X59" s="2">
        <v>0</v>
      </c>
      <c r="Y59" s="1">
        <v>0</v>
      </c>
      <c r="Z59" s="3">
        <v>0</v>
      </c>
      <c r="AA59" s="2">
        <v>0</v>
      </c>
      <c r="AB59" s="1">
        <v>2</v>
      </c>
      <c r="AC59" s="3">
        <v>4</v>
      </c>
      <c r="AD59" s="2">
        <v>1</v>
      </c>
      <c r="AE59">
        <f t="shared" si="16"/>
        <v>7</v>
      </c>
      <c r="AF59">
        <f t="shared" si="17"/>
        <v>8</v>
      </c>
      <c r="AG59">
        <f t="shared" si="18"/>
        <v>11</v>
      </c>
      <c r="AH59">
        <f t="shared" si="19"/>
        <v>16</v>
      </c>
      <c r="AI59">
        <f t="shared" si="20"/>
        <v>7</v>
      </c>
      <c r="AJ59">
        <f t="shared" si="21"/>
        <v>3</v>
      </c>
      <c r="AK59">
        <f t="shared" si="5"/>
        <v>26.923076923076923</v>
      </c>
      <c r="AL59">
        <f t="shared" si="6"/>
        <v>30.76923076923077</v>
      </c>
      <c r="AM59">
        <f t="shared" si="7"/>
        <v>42.307692307692307</v>
      </c>
    </row>
    <row r="60" spans="1:95" x14ac:dyDescent="0.25">
      <c r="A60" t="s">
        <v>38</v>
      </c>
      <c r="B60">
        <v>50</v>
      </c>
      <c r="C60">
        <v>55</v>
      </c>
      <c r="D60">
        <v>298</v>
      </c>
      <c r="E60">
        <v>303</v>
      </c>
      <c r="F60">
        <v>4005</v>
      </c>
      <c r="G60">
        <v>4052</v>
      </c>
      <c r="H60">
        <v>2.5</v>
      </c>
      <c r="I60" s="4">
        <f t="shared" si="15"/>
        <v>24</v>
      </c>
      <c r="J60" s="1">
        <v>3</v>
      </c>
      <c r="K60" s="3">
        <v>2</v>
      </c>
      <c r="L60" s="2">
        <v>1</v>
      </c>
      <c r="M60" s="1">
        <v>3</v>
      </c>
      <c r="N60" s="3">
        <v>1</v>
      </c>
      <c r="O60" s="2">
        <v>0</v>
      </c>
      <c r="P60" s="1">
        <v>0</v>
      </c>
      <c r="Q60" s="3">
        <v>0</v>
      </c>
      <c r="R60" s="2">
        <v>1</v>
      </c>
      <c r="S60" s="1">
        <v>2</v>
      </c>
      <c r="T60" s="3">
        <v>0</v>
      </c>
      <c r="U60" s="2">
        <v>4</v>
      </c>
      <c r="V60" s="1">
        <v>1</v>
      </c>
      <c r="W60" s="3">
        <v>0</v>
      </c>
      <c r="X60" s="2">
        <v>0</v>
      </c>
      <c r="Y60" s="1">
        <v>0</v>
      </c>
      <c r="Z60" s="3">
        <v>0</v>
      </c>
      <c r="AA60" s="2">
        <v>0</v>
      </c>
      <c r="AB60" s="1">
        <v>2</v>
      </c>
      <c r="AC60" s="3">
        <v>1</v>
      </c>
      <c r="AD60" s="2">
        <v>3</v>
      </c>
      <c r="AE60">
        <f t="shared" si="16"/>
        <v>11</v>
      </c>
      <c r="AF60">
        <f t="shared" si="17"/>
        <v>4</v>
      </c>
      <c r="AG60">
        <f t="shared" si="18"/>
        <v>9</v>
      </c>
      <c r="AH60">
        <f t="shared" si="19"/>
        <v>8</v>
      </c>
      <c r="AI60">
        <f t="shared" si="20"/>
        <v>6</v>
      </c>
      <c r="AJ60">
        <f t="shared" si="21"/>
        <v>10</v>
      </c>
      <c r="AK60">
        <f t="shared" si="5"/>
        <v>45.833333333333329</v>
      </c>
      <c r="AL60">
        <f t="shared" si="6"/>
        <v>16.666666666666664</v>
      </c>
      <c r="AM60">
        <f t="shared" si="7"/>
        <v>37.5</v>
      </c>
    </row>
    <row r="61" spans="1:95" x14ac:dyDescent="0.25">
      <c r="A61" t="s">
        <v>38</v>
      </c>
      <c r="B61">
        <v>55</v>
      </c>
      <c r="C61">
        <v>60</v>
      </c>
      <c r="D61">
        <v>303</v>
      </c>
      <c r="E61">
        <v>308</v>
      </c>
      <c r="F61">
        <v>4052</v>
      </c>
      <c r="G61">
        <v>4099</v>
      </c>
      <c r="H61">
        <v>2.5</v>
      </c>
      <c r="I61" s="4">
        <f t="shared" si="15"/>
        <v>4</v>
      </c>
      <c r="J61" s="1">
        <v>0</v>
      </c>
      <c r="K61" s="3">
        <v>1</v>
      </c>
      <c r="L61" s="2">
        <v>0</v>
      </c>
      <c r="M61" s="1">
        <v>0</v>
      </c>
      <c r="N61" s="3">
        <v>0</v>
      </c>
      <c r="O61" s="2">
        <v>0</v>
      </c>
      <c r="P61" s="1">
        <v>0</v>
      </c>
      <c r="Q61" s="3">
        <v>0</v>
      </c>
      <c r="R61" s="2">
        <v>0</v>
      </c>
      <c r="S61" s="1">
        <v>0</v>
      </c>
      <c r="T61" s="3">
        <v>0</v>
      </c>
      <c r="U61" s="2">
        <v>0</v>
      </c>
      <c r="V61" s="1">
        <v>0</v>
      </c>
      <c r="W61" s="3">
        <v>0</v>
      </c>
      <c r="X61" s="2">
        <v>0</v>
      </c>
      <c r="Y61" s="1">
        <v>0</v>
      </c>
      <c r="Z61" s="3">
        <v>0</v>
      </c>
      <c r="AA61" s="2">
        <v>0</v>
      </c>
      <c r="AB61" s="1">
        <v>1</v>
      </c>
      <c r="AC61" s="3">
        <v>0</v>
      </c>
      <c r="AD61" s="2">
        <v>2</v>
      </c>
      <c r="AE61">
        <f t="shared" si="16"/>
        <v>1</v>
      </c>
      <c r="AF61">
        <f t="shared" si="17"/>
        <v>1</v>
      </c>
      <c r="AG61">
        <f t="shared" si="18"/>
        <v>2</v>
      </c>
      <c r="AH61">
        <f t="shared" si="19"/>
        <v>0</v>
      </c>
      <c r="AI61">
        <f t="shared" si="20"/>
        <v>3</v>
      </c>
      <c r="AJ61">
        <f t="shared" si="21"/>
        <v>1</v>
      </c>
      <c r="AK61">
        <f t="shared" si="5"/>
        <v>25</v>
      </c>
      <c r="AL61">
        <f t="shared" si="6"/>
        <v>25</v>
      </c>
      <c r="AM61">
        <f t="shared" si="7"/>
        <v>50</v>
      </c>
    </row>
    <row r="62" spans="1:95" x14ac:dyDescent="0.25">
      <c r="A62" t="s">
        <v>38</v>
      </c>
      <c r="B62">
        <v>60</v>
      </c>
      <c r="C62">
        <v>65</v>
      </c>
      <c r="D62">
        <v>308</v>
      </c>
      <c r="E62">
        <v>313</v>
      </c>
      <c r="F62">
        <v>4099</v>
      </c>
      <c r="G62">
        <v>4146</v>
      </c>
      <c r="H62">
        <v>2.5</v>
      </c>
      <c r="I62" s="4">
        <f t="shared" si="15"/>
        <v>12</v>
      </c>
      <c r="J62" s="1">
        <v>3</v>
      </c>
      <c r="K62" s="3">
        <v>0</v>
      </c>
      <c r="L62" s="2">
        <v>0</v>
      </c>
      <c r="M62" s="1">
        <v>0</v>
      </c>
      <c r="N62" s="3">
        <v>0</v>
      </c>
      <c r="O62" s="2">
        <v>0</v>
      </c>
      <c r="P62" s="1">
        <v>0</v>
      </c>
      <c r="Q62" s="3">
        <v>2</v>
      </c>
      <c r="R62" s="2">
        <v>0</v>
      </c>
      <c r="S62" s="1">
        <v>0</v>
      </c>
      <c r="T62" s="3">
        <v>0</v>
      </c>
      <c r="U62" s="2">
        <v>0</v>
      </c>
      <c r="V62" s="1">
        <v>0</v>
      </c>
      <c r="W62" s="3">
        <v>0</v>
      </c>
      <c r="X62" s="2">
        <v>0</v>
      </c>
      <c r="Y62" s="1">
        <v>0</v>
      </c>
      <c r="Z62" s="3">
        <v>0</v>
      </c>
      <c r="AA62" s="2">
        <v>0</v>
      </c>
      <c r="AB62" s="1">
        <v>1</v>
      </c>
      <c r="AC62" s="3">
        <v>1</v>
      </c>
      <c r="AD62" s="2">
        <v>5</v>
      </c>
      <c r="AE62">
        <f t="shared" si="16"/>
        <v>4</v>
      </c>
      <c r="AF62">
        <f t="shared" si="17"/>
        <v>3</v>
      </c>
      <c r="AG62">
        <f t="shared" si="18"/>
        <v>5</v>
      </c>
      <c r="AH62">
        <f t="shared" si="19"/>
        <v>2</v>
      </c>
      <c r="AI62">
        <f t="shared" si="20"/>
        <v>7</v>
      </c>
      <c r="AJ62">
        <f t="shared" si="21"/>
        <v>3</v>
      </c>
      <c r="AK62">
        <f t="shared" si="5"/>
        <v>33.333333333333329</v>
      </c>
      <c r="AL62">
        <f t="shared" si="6"/>
        <v>25</v>
      </c>
      <c r="AM62">
        <f t="shared" si="7"/>
        <v>41.666666666666671</v>
      </c>
    </row>
    <row r="63" spans="1:95" x14ac:dyDescent="0.25">
      <c r="A63" t="s">
        <v>38</v>
      </c>
      <c r="B63">
        <v>65</v>
      </c>
      <c r="C63">
        <v>70</v>
      </c>
      <c r="D63">
        <v>313</v>
      </c>
      <c r="E63">
        <v>318</v>
      </c>
      <c r="F63">
        <v>4146</v>
      </c>
      <c r="G63">
        <v>4197</v>
      </c>
      <c r="H63">
        <v>2.5</v>
      </c>
      <c r="I63" s="4">
        <f t="shared" si="15"/>
        <v>15</v>
      </c>
      <c r="J63" s="1">
        <v>0</v>
      </c>
      <c r="K63" s="3">
        <v>1</v>
      </c>
      <c r="L63" s="2">
        <v>0</v>
      </c>
      <c r="M63" s="1">
        <v>0</v>
      </c>
      <c r="N63" s="3">
        <v>0</v>
      </c>
      <c r="O63" s="2">
        <v>0</v>
      </c>
      <c r="P63" s="1">
        <v>4</v>
      </c>
      <c r="Q63" s="3">
        <v>2</v>
      </c>
      <c r="R63" s="2">
        <v>0</v>
      </c>
      <c r="S63" s="1">
        <v>0</v>
      </c>
      <c r="T63" s="3">
        <v>0</v>
      </c>
      <c r="U63" s="2">
        <v>0</v>
      </c>
      <c r="V63" s="1">
        <v>1</v>
      </c>
      <c r="W63" s="3">
        <v>0</v>
      </c>
      <c r="X63" s="2">
        <v>0</v>
      </c>
      <c r="Y63" s="1">
        <v>0</v>
      </c>
      <c r="Z63" s="3">
        <v>1</v>
      </c>
      <c r="AA63" s="2">
        <v>0</v>
      </c>
      <c r="AB63" s="1">
        <v>4</v>
      </c>
      <c r="AC63" s="3">
        <v>0</v>
      </c>
      <c r="AD63" s="2">
        <v>2</v>
      </c>
      <c r="AE63">
        <f t="shared" si="16"/>
        <v>9</v>
      </c>
      <c r="AF63">
        <f t="shared" si="17"/>
        <v>4</v>
      </c>
      <c r="AG63">
        <f t="shared" si="18"/>
        <v>2</v>
      </c>
      <c r="AH63">
        <f t="shared" si="19"/>
        <v>7</v>
      </c>
      <c r="AI63">
        <f t="shared" si="20"/>
        <v>7</v>
      </c>
      <c r="AJ63">
        <f t="shared" si="21"/>
        <v>1</v>
      </c>
      <c r="AK63">
        <f t="shared" si="5"/>
        <v>60</v>
      </c>
      <c r="AL63">
        <f t="shared" si="6"/>
        <v>26.666666666666668</v>
      </c>
      <c r="AM63">
        <f t="shared" si="7"/>
        <v>13.333333333333334</v>
      </c>
    </row>
    <row r="64" spans="1:95" x14ac:dyDescent="0.25">
      <c r="A64" t="s">
        <v>38</v>
      </c>
      <c r="B64">
        <v>70</v>
      </c>
      <c r="C64">
        <v>75</v>
      </c>
      <c r="D64">
        <v>318</v>
      </c>
      <c r="E64">
        <v>323</v>
      </c>
      <c r="F64">
        <v>4197</v>
      </c>
      <c r="G64">
        <v>4247</v>
      </c>
      <c r="H64">
        <v>2.5</v>
      </c>
      <c r="I64" s="4">
        <f t="shared" si="15"/>
        <v>9</v>
      </c>
      <c r="J64" s="1">
        <v>1</v>
      </c>
      <c r="K64" s="3">
        <v>0</v>
      </c>
      <c r="L64" s="2">
        <v>0</v>
      </c>
      <c r="M64" s="1">
        <v>1</v>
      </c>
      <c r="N64" s="3">
        <v>0</v>
      </c>
      <c r="O64" s="2">
        <v>0</v>
      </c>
      <c r="P64" s="1">
        <v>0</v>
      </c>
      <c r="Q64" s="3">
        <v>1</v>
      </c>
      <c r="R64" s="2">
        <v>2</v>
      </c>
      <c r="S64" s="1">
        <v>1</v>
      </c>
      <c r="T64" s="3">
        <v>0</v>
      </c>
      <c r="U64" s="2">
        <v>1</v>
      </c>
      <c r="V64" s="1">
        <v>0</v>
      </c>
      <c r="W64" s="3">
        <v>0</v>
      </c>
      <c r="X64" s="2">
        <v>0</v>
      </c>
      <c r="Y64" s="1">
        <v>0</v>
      </c>
      <c r="Z64" s="3">
        <v>0</v>
      </c>
      <c r="AA64" s="2">
        <v>0</v>
      </c>
      <c r="AB64" s="1">
        <v>1</v>
      </c>
      <c r="AC64" s="3">
        <v>0</v>
      </c>
      <c r="AD64" s="2">
        <v>1</v>
      </c>
      <c r="AE64">
        <f t="shared" si="16"/>
        <v>4</v>
      </c>
      <c r="AF64">
        <f t="shared" si="17"/>
        <v>1</v>
      </c>
      <c r="AG64">
        <f t="shared" si="18"/>
        <v>4</v>
      </c>
      <c r="AH64">
        <f t="shared" si="19"/>
        <v>5</v>
      </c>
      <c r="AI64">
        <f t="shared" si="20"/>
        <v>2</v>
      </c>
      <c r="AJ64">
        <f t="shared" si="21"/>
        <v>2</v>
      </c>
      <c r="AK64">
        <f t="shared" si="5"/>
        <v>44.444444444444443</v>
      </c>
      <c r="AL64">
        <f t="shared" si="6"/>
        <v>11.111111111111111</v>
      </c>
      <c r="AM64">
        <f t="shared" si="7"/>
        <v>44.444444444444443</v>
      </c>
    </row>
    <row r="65" spans="1:95" x14ac:dyDescent="0.25">
      <c r="A65" t="s">
        <v>38</v>
      </c>
      <c r="B65">
        <v>75</v>
      </c>
      <c r="C65">
        <v>80</v>
      </c>
      <c r="D65">
        <v>323</v>
      </c>
      <c r="E65">
        <v>328</v>
      </c>
      <c r="F65">
        <v>4247</v>
      </c>
      <c r="G65">
        <v>4301</v>
      </c>
      <c r="H65">
        <v>2.5</v>
      </c>
      <c r="I65" s="4">
        <f t="shared" si="15"/>
        <v>5</v>
      </c>
      <c r="J65" s="1">
        <v>2</v>
      </c>
      <c r="K65" s="3">
        <v>1</v>
      </c>
      <c r="L65" s="2">
        <v>0</v>
      </c>
      <c r="M65" s="1">
        <v>0</v>
      </c>
      <c r="N65" s="3">
        <v>0</v>
      </c>
      <c r="O65" s="2">
        <v>0</v>
      </c>
      <c r="P65" s="1">
        <v>0</v>
      </c>
      <c r="Q65" s="3">
        <v>0</v>
      </c>
      <c r="R65" s="2">
        <v>1</v>
      </c>
      <c r="S65" s="1">
        <v>0</v>
      </c>
      <c r="T65" s="3">
        <v>0</v>
      </c>
      <c r="U65" s="2">
        <v>0</v>
      </c>
      <c r="V65" s="1">
        <v>0</v>
      </c>
      <c r="W65" s="3">
        <v>0</v>
      </c>
      <c r="X65" s="2">
        <v>0</v>
      </c>
      <c r="Y65" s="1">
        <v>0</v>
      </c>
      <c r="Z65" s="3">
        <v>0</v>
      </c>
      <c r="AA65" s="2">
        <v>1</v>
      </c>
      <c r="AB65" s="1">
        <v>0</v>
      </c>
      <c r="AC65" s="3">
        <v>0</v>
      </c>
      <c r="AD65" s="2">
        <v>0</v>
      </c>
      <c r="AE65">
        <f t="shared" si="16"/>
        <v>2</v>
      </c>
      <c r="AF65">
        <f t="shared" si="17"/>
        <v>1</v>
      </c>
      <c r="AG65">
        <f t="shared" si="18"/>
        <v>2</v>
      </c>
      <c r="AH65">
        <f t="shared" si="19"/>
        <v>1</v>
      </c>
      <c r="AI65">
        <f t="shared" si="20"/>
        <v>1</v>
      </c>
      <c r="AJ65">
        <f t="shared" si="21"/>
        <v>3</v>
      </c>
      <c r="AK65">
        <f t="shared" si="5"/>
        <v>40</v>
      </c>
      <c r="AL65">
        <f t="shared" si="6"/>
        <v>20</v>
      </c>
      <c r="AM65">
        <f t="shared" si="7"/>
        <v>40</v>
      </c>
    </row>
    <row r="66" spans="1:95" s="5" customFormat="1" x14ac:dyDescent="0.25">
      <c r="A66" t="s">
        <v>38</v>
      </c>
      <c r="B66">
        <v>80</v>
      </c>
      <c r="C66">
        <v>85</v>
      </c>
      <c r="D66">
        <v>328</v>
      </c>
      <c r="E66">
        <v>333</v>
      </c>
      <c r="F66">
        <v>4301</v>
      </c>
      <c r="G66">
        <v>4359</v>
      </c>
      <c r="H66">
        <v>2.5</v>
      </c>
      <c r="I66" s="4">
        <f t="shared" si="15"/>
        <v>3</v>
      </c>
      <c r="J66" s="1">
        <v>0</v>
      </c>
      <c r="K66" s="3">
        <v>0</v>
      </c>
      <c r="L66" s="2">
        <v>0</v>
      </c>
      <c r="M66" s="1">
        <v>1</v>
      </c>
      <c r="N66" s="3">
        <v>0</v>
      </c>
      <c r="O66" s="2">
        <v>0</v>
      </c>
      <c r="P66" s="1">
        <v>0</v>
      </c>
      <c r="Q66" s="3">
        <v>0</v>
      </c>
      <c r="R66" s="2">
        <v>0</v>
      </c>
      <c r="S66" s="1">
        <v>0</v>
      </c>
      <c r="T66" s="3">
        <v>0</v>
      </c>
      <c r="U66" s="2">
        <v>0</v>
      </c>
      <c r="V66" s="1">
        <v>0</v>
      </c>
      <c r="W66" s="3">
        <v>0</v>
      </c>
      <c r="X66" s="2">
        <v>0</v>
      </c>
      <c r="Y66" s="1">
        <v>0</v>
      </c>
      <c r="Z66" s="3">
        <v>0</v>
      </c>
      <c r="AA66" s="2">
        <v>0</v>
      </c>
      <c r="AB66" s="1">
        <v>1</v>
      </c>
      <c r="AC66" s="3">
        <v>0</v>
      </c>
      <c r="AD66" s="2">
        <v>1</v>
      </c>
      <c r="AE66">
        <f t="shared" si="16"/>
        <v>2</v>
      </c>
      <c r="AF66">
        <f t="shared" si="17"/>
        <v>0</v>
      </c>
      <c r="AG66">
        <f t="shared" si="18"/>
        <v>1</v>
      </c>
      <c r="AH66">
        <f t="shared" si="19"/>
        <v>0</v>
      </c>
      <c r="AI66">
        <f t="shared" si="20"/>
        <v>2</v>
      </c>
      <c r="AJ66">
        <f t="shared" si="21"/>
        <v>1</v>
      </c>
      <c r="AK66">
        <f t="shared" si="5"/>
        <v>66.666666666666657</v>
      </c>
      <c r="AL66">
        <f t="shared" si="6"/>
        <v>0</v>
      </c>
      <c r="AM66">
        <f t="shared" si="7"/>
        <v>33.333333333333329</v>
      </c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</row>
    <row r="67" spans="1:95" x14ac:dyDescent="0.25">
      <c r="A67" t="s">
        <v>38</v>
      </c>
      <c r="B67">
        <v>85</v>
      </c>
      <c r="C67">
        <v>90</v>
      </c>
      <c r="D67">
        <v>333</v>
      </c>
      <c r="E67">
        <v>338</v>
      </c>
      <c r="F67">
        <v>4359</v>
      </c>
      <c r="G67">
        <v>4410</v>
      </c>
      <c r="H67">
        <v>2.5</v>
      </c>
      <c r="I67" s="4">
        <f t="shared" si="15"/>
        <v>5</v>
      </c>
      <c r="J67" s="1">
        <v>0</v>
      </c>
      <c r="K67" s="3">
        <v>0</v>
      </c>
      <c r="L67" s="2">
        <v>0</v>
      </c>
      <c r="M67" s="1">
        <v>0</v>
      </c>
      <c r="N67" s="3">
        <v>0</v>
      </c>
      <c r="O67" s="2">
        <v>0</v>
      </c>
      <c r="P67" s="1">
        <v>0</v>
      </c>
      <c r="Q67" s="3">
        <v>0</v>
      </c>
      <c r="R67" s="2">
        <v>1</v>
      </c>
      <c r="S67" s="1">
        <v>0</v>
      </c>
      <c r="T67" s="3">
        <v>0</v>
      </c>
      <c r="U67" s="2">
        <v>1</v>
      </c>
      <c r="V67" s="1">
        <v>2</v>
      </c>
      <c r="W67" s="3">
        <v>1</v>
      </c>
      <c r="X67" s="2">
        <v>0</v>
      </c>
      <c r="Y67" s="1">
        <v>0</v>
      </c>
      <c r="Z67" s="3">
        <v>0</v>
      </c>
      <c r="AA67" s="2">
        <v>0</v>
      </c>
      <c r="AB67" s="1">
        <v>0</v>
      </c>
      <c r="AC67" s="3">
        <v>0</v>
      </c>
      <c r="AD67" s="2">
        <v>0</v>
      </c>
      <c r="AE67">
        <f t="shared" si="16"/>
        <v>2</v>
      </c>
      <c r="AF67">
        <f t="shared" si="17"/>
        <v>1</v>
      </c>
      <c r="AG67">
        <f t="shared" si="18"/>
        <v>2</v>
      </c>
      <c r="AH67">
        <f t="shared" si="19"/>
        <v>5</v>
      </c>
      <c r="AI67">
        <f t="shared" si="20"/>
        <v>0</v>
      </c>
      <c r="AJ67">
        <f t="shared" si="21"/>
        <v>0</v>
      </c>
      <c r="AK67">
        <f t="shared" ref="AK67:AK130" si="22">(AE67/I67)*100</f>
        <v>40</v>
      </c>
      <c r="AL67">
        <f t="shared" ref="AL67:AL130" si="23">(AF67/$I67)*100</f>
        <v>20</v>
      </c>
      <c r="AM67">
        <f t="shared" ref="AM67:AM130" si="24">(AG67/$I67)*100</f>
        <v>40</v>
      </c>
    </row>
    <row r="68" spans="1:95" x14ac:dyDescent="0.25">
      <c r="A68" t="s">
        <v>38</v>
      </c>
      <c r="B68">
        <v>90</v>
      </c>
      <c r="C68">
        <v>95</v>
      </c>
      <c r="D68">
        <v>338</v>
      </c>
      <c r="E68">
        <v>343</v>
      </c>
      <c r="F68">
        <v>4410</v>
      </c>
      <c r="G68">
        <v>4480</v>
      </c>
      <c r="H68">
        <v>2.5</v>
      </c>
      <c r="I68" s="4">
        <f t="shared" si="15"/>
        <v>6</v>
      </c>
      <c r="J68" s="1">
        <v>1</v>
      </c>
      <c r="K68" s="3">
        <v>0</v>
      </c>
      <c r="L68" s="2">
        <v>1</v>
      </c>
      <c r="M68" s="1">
        <v>0</v>
      </c>
      <c r="N68" s="3">
        <v>0</v>
      </c>
      <c r="O68" s="2">
        <v>0</v>
      </c>
      <c r="P68" s="1">
        <v>0</v>
      </c>
      <c r="Q68" s="3">
        <v>1</v>
      </c>
      <c r="R68" s="2">
        <v>0</v>
      </c>
      <c r="S68" s="1">
        <v>0</v>
      </c>
      <c r="T68" s="3">
        <v>0</v>
      </c>
      <c r="U68" s="2">
        <v>0</v>
      </c>
      <c r="V68" s="1">
        <v>0</v>
      </c>
      <c r="W68" s="3">
        <v>0</v>
      </c>
      <c r="X68" s="2">
        <v>0</v>
      </c>
      <c r="Y68" s="1">
        <v>0</v>
      </c>
      <c r="Z68" s="3">
        <v>0</v>
      </c>
      <c r="AA68" s="2">
        <v>0</v>
      </c>
      <c r="AB68" s="1">
        <v>2</v>
      </c>
      <c r="AC68" s="3">
        <v>1</v>
      </c>
      <c r="AD68" s="2">
        <v>0</v>
      </c>
      <c r="AE68">
        <f t="shared" si="16"/>
        <v>3</v>
      </c>
      <c r="AF68">
        <f t="shared" si="17"/>
        <v>2</v>
      </c>
      <c r="AG68">
        <f t="shared" si="18"/>
        <v>1</v>
      </c>
      <c r="AH68">
        <f t="shared" si="19"/>
        <v>1</v>
      </c>
      <c r="AI68">
        <f t="shared" si="20"/>
        <v>3</v>
      </c>
      <c r="AJ68">
        <f t="shared" si="21"/>
        <v>2</v>
      </c>
      <c r="AK68">
        <f t="shared" si="22"/>
        <v>50</v>
      </c>
      <c r="AL68">
        <f t="shared" si="23"/>
        <v>33.333333333333329</v>
      </c>
      <c r="AM68">
        <f t="shared" si="24"/>
        <v>16.666666666666664</v>
      </c>
    </row>
    <row r="69" spans="1:95" x14ac:dyDescent="0.25">
      <c r="A69" t="s">
        <v>38</v>
      </c>
      <c r="B69">
        <v>95</v>
      </c>
      <c r="C69">
        <v>100</v>
      </c>
      <c r="D69">
        <v>343</v>
      </c>
      <c r="E69">
        <v>348</v>
      </c>
      <c r="F69">
        <v>4480</v>
      </c>
      <c r="G69">
        <v>4559</v>
      </c>
      <c r="H69">
        <v>2.5</v>
      </c>
      <c r="I69" s="4">
        <f t="shared" si="15"/>
        <v>1</v>
      </c>
      <c r="J69" s="1">
        <v>0</v>
      </c>
      <c r="K69" s="3">
        <v>0</v>
      </c>
      <c r="L69" s="2">
        <v>0</v>
      </c>
      <c r="M69" s="1">
        <v>0</v>
      </c>
      <c r="N69" s="3">
        <v>0</v>
      </c>
      <c r="O69" s="2">
        <v>0</v>
      </c>
      <c r="P69" s="1">
        <v>0</v>
      </c>
      <c r="Q69" s="3">
        <v>0</v>
      </c>
      <c r="R69" s="2">
        <v>0</v>
      </c>
      <c r="S69" s="1">
        <v>0</v>
      </c>
      <c r="T69" s="3">
        <v>0</v>
      </c>
      <c r="U69" s="2">
        <v>0</v>
      </c>
      <c r="V69" s="1">
        <v>0</v>
      </c>
      <c r="W69" s="3">
        <v>0</v>
      </c>
      <c r="X69" s="2">
        <v>0</v>
      </c>
      <c r="Y69" s="1">
        <v>0</v>
      </c>
      <c r="Z69" s="3">
        <v>0</v>
      </c>
      <c r="AA69" s="2">
        <v>0</v>
      </c>
      <c r="AB69" s="1">
        <v>1</v>
      </c>
      <c r="AC69" s="3">
        <v>0</v>
      </c>
      <c r="AD69" s="2">
        <v>0</v>
      </c>
      <c r="AE69">
        <f t="shared" si="16"/>
        <v>1</v>
      </c>
      <c r="AF69">
        <f t="shared" si="17"/>
        <v>0</v>
      </c>
      <c r="AG69">
        <f t="shared" si="18"/>
        <v>0</v>
      </c>
      <c r="AH69">
        <f t="shared" si="19"/>
        <v>0</v>
      </c>
      <c r="AI69">
        <f t="shared" si="20"/>
        <v>1</v>
      </c>
      <c r="AJ69">
        <f t="shared" si="21"/>
        <v>0</v>
      </c>
      <c r="AK69">
        <f t="shared" si="22"/>
        <v>100</v>
      </c>
      <c r="AL69">
        <f t="shared" si="23"/>
        <v>0</v>
      </c>
      <c r="AM69">
        <f t="shared" si="24"/>
        <v>0</v>
      </c>
    </row>
    <row r="70" spans="1:95" s="8" customFormat="1" x14ac:dyDescent="0.25">
      <c r="A70" s="8" t="s">
        <v>39</v>
      </c>
      <c r="B70" s="8">
        <v>0</v>
      </c>
      <c r="C70" s="8">
        <v>5</v>
      </c>
      <c r="D70" s="8">
        <v>348</v>
      </c>
      <c r="E70" s="8">
        <v>353</v>
      </c>
      <c r="F70" s="8">
        <v>4559</v>
      </c>
      <c r="G70" s="8">
        <v>4630</v>
      </c>
      <c r="H70" s="8">
        <v>2.5</v>
      </c>
      <c r="I70" s="8">
        <f t="shared" si="15"/>
        <v>16</v>
      </c>
      <c r="J70" s="9">
        <v>4</v>
      </c>
      <c r="K70" s="10">
        <v>3</v>
      </c>
      <c r="L70" s="11">
        <v>0</v>
      </c>
      <c r="M70" s="9">
        <v>0</v>
      </c>
      <c r="N70" s="10">
        <v>0</v>
      </c>
      <c r="O70" s="11">
        <v>0</v>
      </c>
      <c r="P70" s="9">
        <v>1</v>
      </c>
      <c r="Q70" s="10">
        <v>1</v>
      </c>
      <c r="R70" s="11">
        <v>0</v>
      </c>
      <c r="S70" s="9">
        <v>0</v>
      </c>
      <c r="T70" s="10">
        <v>0</v>
      </c>
      <c r="U70" s="11">
        <v>1</v>
      </c>
      <c r="V70" s="9">
        <v>0</v>
      </c>
      <c r="W70" s="10">
        <v>0</v>
      </c>
      <c r="X70" s="11">
        <v>0</v>
      </c>
      <c r="Y70" s="9">
        <v>0</v>
      </c>
      <c r="Z70" s="10">
        <v>0</v>
      </c>
      <c r="AA70" s="11">
        <v>0</v>
      </c>
      <c r="AB70" s="9">
        <v>3</v>
      </c>
      <c r="AC70" s="10">
        <v>3</v>
      </c>
      <c r="AD70" s="11">
        <v>0</v>
      </c>
      <c r="AE70" s="8">
        <f t="shared" si="16"/>
        <v>8</v>
      </c>
      <c r="AF70" s="8">
        <f t="shared" si="17"/>
        <v>7</v>
      </c>
      <c r="AG70" s="8">
        <f t="shared" si="18"/>
        <v>1</v>
      </c>
      <c r="AH70" s="8">
        <f t="shared" si="19"/>
        <v>3</v>
      </c>
      <c r="AI70" s="8">
        <f t="shared" si="20"/>
        <v>6</v>
      </c>
      <c r="AJ70" s="8">
        <f t="shared" si="21"/>
        <v>7</v>
      </c>
      <c r="AK70">
        <f t="shared" si="22"/>
        <v>50</v>
      </c>
      <c r="AL70">
        <f t="shared" si="23"/>
        <v>43.75</v>
      </c>
      <c r="AM70">
        <f t="shared" si="24"/>
        <v>6.25</v>
      </c>
    </row>
    <row r="71" spans="1:95" x14ac:dyDescent="0.25">
      <c r="A71" t="s">
        <v>39</v>
      </c>
      <c r="B71">
        <v>5</v>
      </c>
      <c r="C71">
        <v>10</v>
      </c>
      <c r="D71">
        <v>353</v>
      </c>
      <c r="E71">
        <v>358</v>
      </c>
      <c r="F71">
        <v>4630</v>
      </c>
      <c r="G71">
        <v>4702</v>
      </c>
      <c r="H71">
        <v>2.5</v>
      </c>
      <c r="I71" s="4">
        <f t="shared" si="15"/>
        <v>14</v>
      </c>
      <c r="J71" s="1">
        <v>1</v>
      </c>
      <c r="K71" s="3">
        <v>1</v>
      </c>
      <c r="L71" s="2">
        <v>0</v>
      </c>
      <c r="M71" s="1">
        <v>1</v>
      </c>
      <c r="N71" s="3">
        <v>3</v>
      </c>
      <c r="O71" s="2">
        <v>0</v>
      </c>
      <c r="P71" s="1">
        <v>1</v>
      </c>
      <c r="Q71" s="3">
        <v>1</v>
      </c>
      <c r="R71" s="2">
        <v>0</v>
      </c>
      <c r="S71" s="1">
        <v>0</v>
      </c>
      <c r="T71" s="3">
        <v>1</v>
      </c>
      <c r="U71" s="2">
        <v>0</v>
      </c>
      <c r="V71" s="1">
        <v>0</v>
      </c>
      <c r="W71" s="3">
        <v>0</v>
      </c>
      <c r="X71" s="2">
        <v>0</v>
      </c>
      <c r="Y71" s="1">
        <v>0</v>
      </c>
      <c r="Z71" s="3">
        <v>0</v>
      </c>
      <c r="AA71" s="2">
        <v>0</v>
      </c>
      <c r="AB71" s="1">
        <v>1</v>
      </c>
      <c r="AC71" s="3">
        <v>3</v>
      </c>
      <c r="AD71" s="2">
        <v>1</v>
      </c>
      <c r="AE71">
        <f t="shared" si="16"/>
        <v>4</v>
      </c>
      <c r="AF71">
        <f t="shared" si="17"/>
        <v>9</v>
      </c>
      <c r="AG71">
        <f t="shared" si="18"/>
        <v>1</v>
      </c>
      <c r="AH71">
        <f t="shared" si="19"/>
        <v>3</v>
      </c>
      <c r="AI71">
        <f t="shared" si="20"/>
        <v>5</v>
      </c>
      <c r="AJ71">
        <f t="shared" si="21"/>
        <v>6</v>
      </c>
      <c r="AK71">
        <f t="shared" si="22"/>
        <v>28.571428571428569</v>
      </c>
      <c r="AL71">
        <f t="shared" si="23"/>
        <v>64.285714285714292</v>
      </c>
      <c r="AM71">
        <f t="shared" si="24"/>
        <v>7.1428571428571423</v>
      </c>
    </row>
    <row r="72" spans="1:95" x14ac:dyDescent="0.25">
      <c r="A72" t="s">
        <v>39</v>
      </c>
      <c r="B72">
        <v>10</v>
      </c>
      <c r="C72">
        <v>15</v>
      </c>
      <c r="D72">
        <v>358</v>
      </c>
      <c r="E72">
        <v>363</v>
      </c>
      <c r="F72">
        <v>4702</v>
      </c>
      <c r="G72">
        <v>4778</v>
      </c>
      <c r="H72">
        <v>2.5</v>
      </c>
      <c r="I72" s="4">
        <f t="shared" si="15"/>
        <v>7</v>
      </c>
      <c r="J72" s="1">
        <v>1</v>
      </c>
      <c r="K72" s="3">
        <v>0</v>
      </c>
      <c r="L72" s="2">
        <v>0</v>
      </c>
      <c r="M72" s="1">
        <v>0</v>
      </c>
      <c r="N72" s="3">
        <v>0</v>
      </c>
      <c r="O72" s="2">
        <v>0</v>
      </c>
      <c r="P72" s="1">
        <v>0</v>
      </c>
      <c r="Q72" s="3">
        <v>0</v>
      </c>
      <c r="R72" s="2">
        <v>0</v>
      </c>
      <c r="S72" s="1">
        <v>0</v>
      </c>
      <c r="T72" s="3">
        <v>0</v>
      </c>
      <c r="U72" s="2">
        <v>0</v>
      </c>
      <c r="V72" s="1">
        <v>0</v>
      </c>
      <c r="W72" s="3">
        <v>0</v>
      </c>
      <c r="X72" s="2">
        <v>0</v>
      </c>
      <c r="Y72" s="1">
        <v>0</v>
      </c>
      <c r="Z72" s="3">
        <v>0</v>
      </c>
      <c r="AA72" s="2">
        <v>2</v>
      </c>
      <c r="AB72" s="1">
        <v>1</v>
      </c>
      <c r="AC72" s="3">
        <v>2</v>
      </c>
      <c r="AD72" s="2">
        <v>1</v>
      </c>
      <c r="AE72">
        <f t="shared" si="16"/>
        <v>2</v>
      </c>
      <c r="AF72">
        <f t="shared" si="17"/>
        <v>2</v>
      </c>
      <c r="AG72">
        <f t="shared" si="18"/>
        <v>3</v>
      </c>
      <c r="AH72">
        <f t="shared" si="19"/>
        <v>0</v>
      </c>
      <c r="AI72">
        <f t="shared" si="20"/>
        <v>6</v>
      </c>
      <c r="AJ72">
        <f t="shared" si="21"/>
        <v>1</v>
      </c>
      <c r="AK72">
        <f t="shared" si="22"/>
        <v>28.571428571428569</v>
      </c>
      <c r="AL72">
        <f t="shared" si="23"/>
        <v>28.571428571428569</v>
      </c>
      <c r="AM72">
        <f t="shared" si="24"/>
        <v>42.857142857142854</v>
      </c>
    </row>
    <row r="73" spans="1:95" x14ac:dyDescent="0.25">
      <c r="A73" t="s">
        <v>39</v>
      </c>
      <c r="B73">
        <v>15</v>
      </c>
      <c r="C73">
        <v>20</v>
      </c>
      <c r="D73">
        <v>363</v>
      </c>
      <c r="E73">
        <v>368</v>
      </c>
      <c r="F73">
        <v>4778</v>
      </c>
      <c r="G73">
        <v>4863</v>
      </c>
      <c r="H73">
        <v>2.5</v>
      </c>
      <c r="I73" s="4">
        <f t="shared" si="15"/>
        <v>8</v>
      </c>
      <c r="J73" s="1">
        <v>0</v>
      </c>
      <c r="K73" s="3">
        <v>0</v>
      </c>
      <c r="L73" s="2">
        <v>0</v>
      </c>
      <c r="M73" s="1">
        <v>2</v>
      </c>
      <c r="N73" s="3">
        <v>0</v>
      </c>
      <c r="O73" s="2">
        <v>0</v>
      </c>
      <c r="P73" s="1">
        <v>0</v>
      </c>
      <c r="Q73" s="3">
        <v>0</v>
      </c>
      <c r="R73" s="2">
        <v>0</v>
      </c>
      <c r="S73" s="1">
        <v>0</v>
      </c>
      <c r="T73" s="3">
        <v>0</v>
      </c>
      <c r="U73" s="2">
        <v>0</v>
      </c>
      <c r="V73" s="1">
        <v>0</v>
      </c>
      <c r="W73" s="3">
        <v>0</v>
      </c>
      <c r="X73" s="2">
        <v>0</v>
      </c>
      <c r="Y73" s="1">
        <v>0</v>
      </c>
      <c r="Z73" s="3">
        <v>0</v>
      </c>
      <c r="AA73" s="2">
        <v>1</v>
      </c>
      <c r="AB73" s="1">
        <v>2</v>
      </c>
      <c r="AC73" s="3">
        <v>1</v>
      </c>
      <c r="AD73" s="2">
        <v>2</v>
      </c>
      <c r="AE73">
        <f t="shared" ref="AE73:AE136" si="25">SUM(J73,M73,P73,S73,V73,Y73,AB73)</f>
        <v>4</v>
      </c>
      <c r="AF73">
        <f t="shared" si="17"/>
        <v>1</v>
      </c>
      <c r="AG73">
        <f t="shared" si="18"/>
        <v>3</v>
      </c>
      <c r="AH73">
        <f t="shared" ref="AH73:AH136" si="26">SUM(P73:X73)</f>
        <v>0</v>
      </c>
      <c r="AI73">
        <f t="shared" ref="AI73:AI136" si="27">SUM(Y73:AD73)</f>
        <v>6</v>
      </c>
      <c r="AJ73">
        <f t="shared" ref="AJ73:AJ136" si="28">SUM(J73:O73)</f>
        <v>2</v>
      </c>
      <c r="AK73">
        <f t="shared" si="22"/>
        <v>50</v>
      </c>
      <c r="AL73">
        <f t="shared" si="23"/>
        <v>12.5</v>
      </c>
      <c r="AM73">
        <f t="shared" si="24"/>
        <v>37.5</v>
      </c>
    </row>
    <row r="74" spans="1:95" x14ac:dyDescent="0.25">
      <c r="A74" t="s">
        <v>39</v>
      </c>
      <c r="B74">
        <v>20</v>
      </c>
      <c r="C74">
        <v>25</v>
      </c>
      <c r="D74">
        <v>368</v>
      </c>
      <c r="E74">
        <v>373</v>
      </c>
      <c r="F74">
        <v>4863</v>
      </c>
      <c r="G74">
        <v>4945</v>
      </c>
      <c r="H74">
        <v>2.5</v>
      </c>
      <c r="I74" s="4">
        <f t="shared" si="15"/>
        <v>8</v>
      </c>
      <c r="J74" s="1">
        <v>1</v>
      </c>
      <c r="K74" s="3">
        <v>0</v>
      </c>
      <c r="L74" s="2">
        <v>0</v>
      </c>
      <c r="M74" s="1">
        <v>0</v>
      </c>
      <c r="N74" s="3">
        <v>0</v>
      </c>
      <c r="O74" s="2">
        <v>0</v>
      </c>
      <c r="P74" s="1">
        <v>1</v>
      </c>
      <c r="Q74" s="3">
        <v>0</v>
      </c>
      <c r="R74" s="2">
        <v>0</v>
      </c>
      <c r="S74" s="1">
        <v>1</v>
      </c>
      <c r="T74" s="3">
        <v>1</v>
      </c>
      <c r="U74" s="2">
        <v>0</v>
      </c>
      <c r="V74" s="1">
        <v>1</v>
      </c>
      <c r="W74" s="3">
        <v>0</v>
      </c>
      <c r="X74" s="2">
        <v>0</v>
      </c>
      <c r="Y74" s="1">
        <v>0</v>
      </c>
      <c r="Z74" s="3">
        <v>0</v>
      </c>
      <c r="AA74" s="2">
        <v>0</v>
      </c>
      <c r="AB74" s="1">
        <v>2</v>
      </c>
      <c r="AC74" s="3">
        <v>1</v>
      </c>
      <c r="AD74" s="2">
        <v>0</v>
      </c>
      <c r="AE74">
        <v>6</v>
      </c>
      <c r="AF74">
        <f t="shared" si="17"/>
        <v>2</v>
      </c>
      <c r="AG74">
        <f t="shared" si="18"/>
        <v>0</v>
      </c>
      <c r="AH74">
        <f t="shared" si="19"/>
        <v>4</v>
      </c>
      <c r="AI74">
        <f t="shared" si="27"/>
        <v>3</v>
      </c>
      <c r="AJ74">
        <f t="shared" si="28"/>
        <v>1</v>
      </c>
      <c r="AK74">
        <f t="shared" si="22"/>
        <v>75</v>
      </c>
      <c r="AL74">
        <f t="shared" si="23"/>
        <v>25</v>
      </c>
      <c r="AM74">
        <f t="shared" si="24"/>
        <v>0</v>
      </c>
    </row>
    <row r="75" spans="1:95" x14ac:dyDescent="0.25">
      <c r="A75" t="s">
        <v>39</v>
      </c>
      <c r="B75">
        <v>25</v>
      </c>
      <c r="C75">
        <v>30</v>
      </c>
      <c r="D75">
        <v>373</v>
      </c>
      <c r="E75">
        <v>378</v>
      </c>
      <c r="F75">
        <v>4945</v>
      </c>
      <c r="G75">
        <v>5025</v>
      </c>
      <c r="H75">
        <v>2.5</v>
      </c>
      <c r="I75" s="4">
        <f t="shared" si="15"/>
        <v>12</v>
      </c>
      <c r="J75" s="1">
        <v>4</v>
      </c>
      <c r="K75" s="3">
        <v>0</v>
      </c>
      <c r="L75" s="2">
        <v>1</v>
      </c>
      <c r="M75" s="1">
        <v>2</v>
      </c>
      <c r="N75" s="3">
        <v>0</v>
      </c>
      <c r="O75" s="2">
        <v>0</v>
      </c>
      <c r="P75" s="1">
        <v>1</v>
      </c>
      <c r="Q75" s="3">
        <v>1</v>
      </c>
      <c r="R75" s="2">
        <v>0</v>
      </c>
      <c r="S75" s="1">
        <v>0</v>
      </c>
      <c r="T75" s="3">
        <v>0</v>
      </c>
      <c r="U75" s="2">
        <v>0</v>
      </c>
      <c r="V75" s="1">
        <v>0</v>
      </c>
      <c r="W75" s="3">
        <v>0</v>
      </c>
      <c r="X75" s="2">
        <v>0</v>
      </c>
      <c r="Y75" s="1">
        <v>0</v>
      </c>
      <c r="Z75" s="3">
        <v>0</v>
      </c>
      <c r="AA75" s="2">
        <v>0</v>
      </c>
      <c r="AB75" s="1">
        <v>1</v>
      </c>
      <c r="AC75" s="3">
        <v>1</v>
      </c>
      <c r="AD75" s="2">
        <v>1</v>
      </c>
      <c r="AE75">
        <f t="shared" si="25"/>
        <v>8</v>
      </c>
      <c r="AF75">
        <f t="shared" si="17"/>
        <v>2</v>
      </c>
      <c r="AG75">
        <f t="shared" si="18"/>
        <v>2</v>
      </c>
      <c r="AH75">
        <f t="shared" si="26"/>
        <v>2</v>
      </c>
      <c r="AI75">
        <f t="shared" si="27"/>
        <v>3</v>
      </c>
      <c r="AJ75">
        <f t="shared" si="28"/>
        <v>7</v>
      </c>
      <c r="AK75">
        <f t="shared" si="22"/>
        <v>66.666666666666657</v>
      </c>
      <c r="AL75">
        <f t="shared" si="23"/>
        <v>16.666666666666664</v>
      </c>
      <c r="AM75">
        <f t="shared" si="24"/>
        <v>16.666666666666664</v>
      </c>
    </row>
    <row r="76" spans="1:95" x14ac:dyDescent="0.25">
      <c r="A76" t="s">
        <v>39</v>
      </c>
      <c r="B76">
        <v>30</v>
      </c>
      <c r="C76">
        <v>35</v>
      </c>
      <c r="D76">
        <v>378</v>
      </c>
      <c r="E76">
        <v>383</v>
      </c>
      <c r="F76">
        <v>5025</v>
      </c>
      <c r="G76">
        <v>5106</v>
      </c>
      <c r="H76">
        <v>2.5</v>
      </c>
      <c r="I76" s="4">
        <f t="shared" si="15"/>
        <v>8</v>
      </c>
      <c r="J76" s="1">
        <v>1</v>
      </c>
      <c r="K76" s="3">
        <v>0</v>
      </c>
      <c r="L76" s="2">
        <v>0</v>
      </c>
      <c r="M76" s="1">
        <v>1</v>
      </c>
      <c r="N76" s="3">
        <v>0</v>
      </c>
      <c r="O76" s="2">
        <v>0</v>
      </c>
      <c r="P76" s="1">
        <v>0</v>
      </c>
      <c r="Q76" s="3">
        <v>0</v>
      </c>
      <c r="R76" s="2">
        <v>0</v>
      </c>
      <c r="S76" s="1">
        <v>0</v>
      </c>
      <c r="T76" s="3">
        <v>0</v>
      </c>
      <c r="U76" s="2">
        <v>0</v>
      </c>
      <c r="V76" s="1">
        <v>1</v>
      </c>
      <c r="W76" s="3">
        <v>0</v>
      </c>
      <c r="X76" s="2">
        <v>0</v>
      </c>
      <c r="Y76" s="1">
        <v>0</v>
      </c>
      <c r="Z76" s="3">
        <v>1</v>
      </c>
      <c r="AA76" s="2">
        <v>0</v>
      </c>
      <c r="AB76" s="1">
        <v>1</v>
      </c>
      <c r="AC76" s="3">
        <v>1</v>
      </c>
      <c r="AD76" s="2">
        <v>2</v>
      </c>
      <c r="AE76">
        <f t="shared" si="25"/>
        <v>4</v>
      </c>
      <c r="AF76">
        <f t="shared" ref="AF76:AF136" si="29">SUM(K76,N76,Q76,T76,W76,Z76,AC76)</f>
        <v>2</v>
      </c>
      <c r="AG76">
        <f t="shared" si="18"/>
        <v>2</v>
      </c>
      <c r="AH76">
        <f t="shared" si="19"/>
        <v>1</v>
      </c>
      <c r="AI76">
        <f t="shared" si="27"/>
        <v>5</v>
      </c>
      <c r="AJ76">
        <f t="shared" si="28"/>
        <v>2</v>
      </c>
      <c r="AK76">
        <f t="shared" si="22"/>
        <v>50</v>
      </c>
      <c r="AL76">
        <f t="shared" si="23"/>
        <v>25</v>
      </c>
      <c r="AM76">
        <f t="shared" si="24"/>
        <v>25</v>
      </c>
    </row>
    <row r="77" spans="1:95" x14ac:dyDescent="0.25">
      <c r="A77" t="s">
        <v>39</v>
      </c>
      <c r="B77">
        <v>35</v>
      </c>
      <c r="C77">
        <v>40</v>
      </c>
      <c r="D77">
        <v>383</v>
      </c>
      <c r="E77">
        <v>388</v>
      </c>
      <c r="F77">
        <v>5106</v>
      </c>
      <c r="G77">
        <v>5189</v>
      </c>
      <c r="H77">
        <v>2.5</v>
      </c>
      <c r="I77" s="4">
        <f t="shared" si="15"/>
        <v>2</v>
      </c>
      <c r="J77" s="1">
        <v>0</v>
      </c>
      <c r="K77" s="3">
        <v>0</v>
      </c>
      <c r="L77" s="2">
        <v>0</v>
      </c>
      <c r="M77" s="1">
        <v>0</v>
      </c>
      <c r="N77" s="3">
        <v>0</v>
      </c>
      <c r="O77" s="2">
        <v>0</v>
      </c>
      <c r="P77" s="1">
        <v>0</v>
      </c>
      <c r="Q77" s="3">
        <v>0</v>
      </c>
      <c r="R77" s="2">
        <v>0</v>
      </c>
      <c r="S77" s="1">
        <v>0</v>
      </c>
      <c r="T77" s="3">
        <v>0</v>
      </c>
      <c r="U77" s="2">
        <v>1</v>
      </c>
      <c r="V77" s="1">
        <v>0</v>
      </c>
      <c r="W77" s="3">
        <v>0</v>
      </c>
      <c r="X77" s="2">
        <v>0</v>
      </c>
      <c r="Y77" s="1">
        <v>0</v>
      </c>
      <c r="Z77" s="3">
        <v>0</v>
      </c>
      <c r="AA77" s="2">
        <v>0</v>
      </c>
      <c r="AB77" s="1">
        <v>0</v>
      </c>
      <c r="AC77" s="3">
        <v>1</v>
      </c>
      <c r="AD77" s="2">
        <v>0</v>
      </c>
      <c r="AE77">
        <f t="shared" si="25"/>
        <v>0</v>
      </c>
      <c r="AF77">
        <f t="shared" si="29"/>
        <v>1</v>
      </c>
      <c r="AG77">
        <f t="shared" ref="AG77:AG136" si="30">SUM(L77,O77,R77,U77,X77,AA77,AD77)</f>
        <v>1</v>
      </c>
      <c r="AH77">
        <f t="shared" si="26"/>
        <v>1</v>
      </c>
      <c r="AI77">
        <f t="shared" si="27"/>
        <v>1</v>
      </c>
      <c r="AJ77">
        <f t="shared" si="28"/>
        <v>0</v>
      </c>
      <c r="AK77">
        <f t="shared" si="22"/>
        <v>0</v>
      </c>
      <c r="AL77">
        <f t="shared" si="23"/>
        <v>50</v>
      </c>
      <c r="AM77">
        <f t="shared" si="24"/>
        <v>50</v>
      </c>
    </row>
    <row r="78" spans="1:95" x14ac:dyDescent="0.25">
      <c r="A78" t="s">
        <v>39</v>
      </c>
      <c r="B78">
        <v>40</v>
      </c>
      <c r="C78">
        <v>45</v>
      </c>
      <c r="D78">
        <v>388</v>
      </c>
      <c r="E78">
        <v>393</v>
      </c>
      <c r="F78">
        <v>5189</v>
      </c>
      <c r="G78">
        <v>5278</v>
      </c>
      <c r="H78">
        <v>2.5</v>
      </c>
      <c r="I78" s="4">
        <f t="shared" si="15"/>
        <v>11</v>
      </c>
      <c r="J78" s="1">
        <v>1</v>
      </c>
      <c r="K78" s="3">
        <v>0</v>
      </c>
      <c r="L78" s="2">
        <v>0</v>
      </c>
      <c r="M78" s="1">
        <v>0</v>
      </c>
      <c r="N78" s="3">
        <v>0</v>
      </c>
      <c r="O78" s="2">
        <v>0</v>
      </c>
      <c r="P78" s="1">
        <v>1</v>
      </c>
      <c r="Q78" s="3">
        <v>2</v>
      </c>
      <c r="R78" s="2">
        <v>1</v>
      </c>
      <c r="S78" s="1">
        <v>0</v>
      </c>
      <c r="T78" s="3">
        <v>1</v>
      </c>
      <c r="U78" s="2">
        <v>1</v>
      </c>
      <c r="V78" s="1">
        <v>0</v>
      </c>
      <c r="W78" s="3">
        <v>0</v>
      </c>
      <c r="X78" s="2">
        <v>0</v>
      </c>
      <c r="Y78" s="1">
        <v>1</v>
      </c>
      <c r="Z78" s="3">
        <v>1</v>
      </c>
      <c r="AA78" s="2">
        <v>1</v>
      </c>
      <c r="AB78" s="1">
        <v>0</v>
      </c>
      <c r="AC78" s="3">
        <v>0</v>
      </c>
      <c r="AD78" s="2">
        <v>1</v>
      </c>
      <c r="AE78">
        <f t="shared" si="25"/>
        <v>3</v>
      </c>
      <c r="AF78">
        <f t="shared" si="29"/>
        <v>4</v>
      </c>
      <c r="AG78">
        <f t="shared" si="30"/>
        <v>4</v>
      </c>
      <c r="AH78">
        <f t="shared" si="26"/>
        <v>6</v>
      </c>
      <c r="AI78">
        <f t="shared" si="27"/>
        <v>4</v>
      </c>
      <c r="AJ78">
        <f t="shared" si="28"/>
        <v>1</v>
      </c>
      <c r="AK78">
        <f t="shared" si="22"/>
        <v>27.27272727272727</v>
      </c>
      <c r="AL78">
        <f t="shared" si="23"/>
        <v>36.363636363636367</v>
      </c>
      <c r="AM78">
        <f t="shared" si="24"/>
        <v>36.363636363636367</v>
      </c>
    </row>
    <row r="79" spans="1:95" x14ac:dyDescent="0.25">
      <c r="A79" t="s">
        <v>39</v>
      </c>
      <c r="B79">
        <v>45</v>
      </c>
      <c r="C79">
        <v>50</v>
      </c>
      <c r="D79">
        <v>393</v>
      </c>
      <c r="E79">
        <v>398</v>
      </c>
      <c r="F79">
        <v>5278</v>
      </c>
      <c r="G79">
        <v>5359</v>
      </c>
      <c r="H79">
        <v>2.5</v>
      </c>
      <c r="I79" s="4">
        <f t="shared" si="15"/>
        <v>27</v>
      </c>
      <c r="J79" s="1">
        <v>1</v>
      </c>
      <c r="K79" s="3">
        <v>1</v>
      </c>
      <c r="L79" s="2">
        <v>0</v>
      </c>
      <c r="M79" s="1">
        <v>1</v>
      </c>
      <c r="N79" s="3">
        <v>1</v>
      </c>
      <c r="O79" s="2">
        <v>0</v>
      </c>
      <c r="P79" s="1">
        <v>1</v>
      </c>
      <c r="Q79" s="3">
        <v>1</v>
      </c>
      <c r="R79" s="2">
        <v>1</v>
      </c>
      <c r="S79" s="1">
        <v>2</v>
      </c>
      <c r="T79" s="3">
        <v>0</v>
      </c>
      <c r="U79" s="2">
        <v>1</v>
      </c>
      <c r="V79" s="1">
        <v>0</v>
      </c>
      <c r="W79" s="3">
        <v>1</v>
      </c>
      <c r="X79" s="2">
        <v>0</v>
      </c>
      <c r="Y79" s="1">
        <v>0</v>
      </c>
      <c r="Z79" s="3">
        <v>0</v>
      </c>
      <c r="AA79" s="2">
        <v>3</v>
      </c>
      <c r="AB79" s="1">
        <v>2</v>
      </c>
      <c r="AC79" s="3">
        <v>1</v>
      </c>
      <c r="AD79" s="2">
        <v>10</v>
      </c>
      <c r="AE79">
        <f t="shared" si="25"/>
        <v>7</v>
      </c>
      <c r="AF79">
        <f t="shared" si="29"/>
        <v>5</v>
      </c>
      <c r="AG79">
        <f t="shared" si="30"/>
        <v>15</v>
      </c>
      <c r="AH79">
        <f t="shared" si="26"/>
        <v>7</v>
      </c>
      <c r="AI79">
        <f t="shared" si="27"/>
        <v>16</v>
      </c>
      <c r="AJ79">
        <f t="shared" si="28"/>
        <v>4</v>
      </c>
      <c r="AK79">
        <f t="shared" si="22"/>
        <v>25.925925925925924</v>
      </c>
      <c r="AL79">
        <f t="shared" si="23"/>
        <v>18.518518518518519</v>
      </c>
      <c r="AM79">
        <f t="shared" si="24"/>
        <v>55.555555555555557</v>
      </c>
    </row>
    <row r="80" spans="1:95" s="8" customFormat="1" x14ac:dyDescent="0.25">
      <c r="A80" s="8" t="s">
        <v>40</v>
      </c>
      <c r="B80" s="8">
        <v>5</v>
      </c>
      <c r="C80" s="8">
        <v>10</v>
      </c>
      <c r="D80" s="8">
        <v>400</v>
      </c>
      <c r="E80" s="8">
        <v>405</v>
      </c>
      <c r="F80" s="8">
        <v>5393</v>
      </c>
      <c r="G80" s="8">
        <v>5474</v>
      </c>
      <c r="H80" s="8">
        <v>2.5</v>
      </c>
      <c r="I80" s="8">
        <f t="shared" si="15"/>
        <v>10</v>
      </c>
      <c r="J80" s="9">
        <v>2</v>
      </c>
      <c r="K80" s="10">
        <v>1</v>
      </c>
      <c r="L80" s="11">
        <v>1</v>
      </c>
      <c r="M80" s="9">
        <v>0</v>
      </c>
      <c r="N80" s="10">
        <v>0</v>
      </c>
      <c r="O80" s="11">
        <v>1</v>
      </c>
      <c r="P80" s="9">
        <v>0</v>
      </c>
      <c r="Q80" s="10">
        <v>0</v>
      </c>
      <c r="R80" s="11">
        <v>1</v>
      </c>
      <c r="S80" s="9">
        <v>0</v>
      </c>
      <c r="T80" s="10">
        <v>0</v>
      </c>
      <c r="U80" s="11">
        <v>0</v>
      </c>
      <c r="V80" s="9">
        <v>0</v>
      </c>
      <c r="W80" s="10">
        <v>0</v>
      </c>
      <c r="X80" s="11">
        <v>0</v>
      </c>
      <c r="Y80" s="9">
        <v>0</v>
      </c>
      <c r="Z80" s="10">
        <v>1</v>
      </c>
      <c r="AA80" s="11">
        <v>0</v>
      </c>
      <c r="AB80" s="9">
        <v>2</v>
      </c>
      <c r="AC80" s="10">
        <v>1</v>
      </c>
      <c r="AD80" s="11">
        <v>0</v>
      </c>
      <c r="AE80" s="8">
        <f t="shared" si="25"/>
        <v>4</v>
      </c>
      <c r="AF80" s="8">
        <f t="shared" si="29"/>
        <v>3</v>
      </c>
      <c r="AG80" s="8">
        <f t="shared" si="30"/>
        <v>3</v>
      </c>
      <c r="AH80" s="8">
        <f t="shared" si="26"/>
        <v>1</v>
      </c>
      <c r="AI80" s="8">
        <f t="shared" si="27"/>
        <v>4</v>
      </c>
      <c r="AJ80" s="8">
        <f t="shared" si="28"/>
        <v>5</v>
      </c>
      <c r="AK80">
        <f t="shared" si="22"/>
        <v>40</v>
      </c>
      <c r="AL80">
        <f t="shared" si="23"/>
        <v>30</v>
      </c>
      <c r="AM80">
        <f t="shared" si="24"/>
        <v>30</v>
      </c>
    </row>
    <row r="81" spans="1:95" x14ac:dyDescent="0.25">
      <c r="A81" t="s">
        <v>40</v>
      </c>
      <c r="B81">
        <v>10</v>
      </c>
      <c r="C81">
        <v>15</v>
      </c>
      <c r="D81">
        <v>405</v>
      </c>
      <c r="E81">
        <v>410</v>
      </c>
      <c r="F81">
        <v>5474</v>
      </c>
      <c r="G81">
        <v>5561</v>
      </c>
      <c r="H81">
        <v>2.5</v>
      </c>
      <c r="I81" s="4">
        <f t="shared" si="15"/>
        <v>11</v>
      </c>
      <c r="J81" s="1">
        <v>0</v>
      </c>
      <c r="K81" s="3">
        <v>0</v>
      </c>
      <c r="L81" s="2">
        <v>0</v>
      </c>
      <c r="M81" s="1">
        <v>1</v>
      </c>
      <c r="N81" s="3">
        <v>0</v>
      </c>
      <c r="O81" s="2">
        <v>0</v>
      </c>
      <c r="P81" s="1">
        <v>1</v>
      </c>
      <c r="Q81" s="3">
        <v>0</v>
      </c>
      <c r="R81" s="2">
        <v>0</v>
      </c>
      <c r="S81" s="1">
        <v>0</v>
      </c>
      <c r="T81" s="3">
        <v>1</v>
      </c>
      <c r="U81" s="2">
        <v>0</v>
      </c>
      <c r="V81" s="1">
        <v>0</v>
      </c>
      <c r="W81" s="3">
        <v>0</v>
      </c>
      <c r="X81" s="2">
        <v>0</v>
      </c>
      <c r="Y81" s="1">
        <v>0</v>
      </c>
      <c r="Z81" s="3">
        <v>0</v>
      </c>
      <c r="AA81" s="2">
        <v>0</v>
      </c>
      <c r="AB81" s="1">
        <v>0</v>
      </c>
      <c r="AC81" s="3">
        <v>4</v>
      </c>
      <c r="AD81" s="2">
        <v>4</v>
      </c>
      <c r="AE81">
        <f t="shared" si="25"/>
        <v>2</v>
      </c>
      <c r="AF81">
        <f t="shared" si="29"/>
        <v>5</v>
      </c>
      <c r="AG81">
        <f t="shared" si="30"/>
        <v>4</v>
      </c>
      <c r="AH81">
        <f t="shared" si="26"/>
        <v>2</v>
      </c>
      <c r="AI81">
        <f t="shared" si="27"/>
        <v>8</v>
      </c>
      <c r="AJ81">
        <f t="shared" si="28"/>
        <v>1</v>
      </c>
      <c r="AK81">
        <f t="shared" si="22"/>
        <v>18.181818181818183</v>
      </c>
      <c r="AL81">
        <f t="shared" si="23"/>
        <v>45.454545454545453</v>
      </c>
      <c r="AM81">
        <f t="shared" si="24"/>
        <v>36.363636363636367</v>
      </c>
    </row>
    <row r="82" spans="1:95" x14ac:dyDescent="0.25">
      <c r="A82" t="s">
        <v>40</v>
      </c>
      <c r="B82">
        <v>15</v>
      </c>
      <c r="C82">
        <v>20</v>
      </c>
      <c r="D82">
        <v>410</v>
      </c>
      <c r="E82">
        <v>415</v>
      </c>
      <c r="F82">
        <v>5561</v>
      </c>
      <c r="G82">
        <v>5644</v>
      </c>
      <c r="H82">
        <v>2.5</v>
      </c>
      <c r="I82" s="4">
        <f t="shared" si="15"/>
        <v>44</v>
      </c>
      <c r="J82" s="1">
        <v>6</v>
      </c>
      <c r="K82" s="3">
        <v>5</v>
      </c>
      <c r="L82" s="2">
        <v>0</v>
      </c>
      <c r="M82" s="1">
        <v>1</v>
      </c>
      <c r="N82" s="3">
        <v>3</v>
      </c>
      <c r="O82" s="2">
        <v>1</v>
      </c>
      <c r="P82" s="1">
        <v>3</v>
      </c>
      <c r="Q82" s="3">
        <v>1</v>
      </c>
      <c r="R82" s="2">
        <v>0</v>
      </c>
      <c r="S82" s="1">
        <v>1</v>
      </c>
      <c r="T82" s="3">
        <v>0</v>
      </c>
      <c r="U82" s="2">
        <v>1</v>
      </c>
      <c r="V82" s="1">
        <v>1</v>
      </c>
      <c r="W82" s="3">
        <v>0</v>
      </c>
      <c r="X82" s="2">
        <v>1</v>
      </c>
      <c r="Y82" s="1">
        <v>1</v>
      </c>
      <c r="Z82" s="3">
        <v>0</v>
      </c>
      <c r="AA82" s="2">
        <v>0</v>
      </c>
      <c r="AB82" s="1">
        <v>8</v>
      </c>
      <c r="AC82" s="3">
        <v>6</v>
      </c>
      <c r="AD82" s="2">
        <v>5</v>
      </c>
      <c r="AE82">
        <f t="shared" si="25"/>
        <v>21</v>
      </c>
      <c r="AF82">
        <f t="shared" si="29"/>
        <v>15</v>
      </c>
      <c r="AG82">
        <f t="shared" si="30"/>
        <v>8</v>
      </c>
      <c r="AH82">
        <f t="shared" si="26"/>
        <v>8</v>
      </c>
      <c r="AI82">
        <f t="shared" si="27"/>
        <v>20</v>
      </c>
      <c r="AJ82">
        <f t="shared" si="28"/>
        <v>16</v>
      </c>
      <c r="AK82">
        <f t="shared" si="22"/>
        <v>47.727272727272727</v>
      </c>
      <c r="AL82">
        <f t="shared" si="23"/>
        <v>34.090909090909086</v>
      </c>
      <c r="AM82">
        <f t="shared" si="24"/>
        <v>18.181818181818183</v>
      </c>
    </row>
    <row r="83" spans="1:95" x14ac:dyDescent="0.25">
      <c r="A83" t="s">
        <v>40</v>
      </c>
      <c r="B83">
        <v>20</v>
      </c>
      <c r="C83">
        <v>25</v>
      </c>
      <c r="D83">
        <v>415</v>
      </c>
      <c r="E83">
        <v>420</v>
      </c>
      <c r="F83">
        <v>5644</v>
      </c>
      <c r="G83">
        <v>5724</v>
      </c>
      <c r="H83">
        <v>2.5</v>
      </c>
      <c r="I83" s="4">
        <f t="shared" si="15"/>
        <v>72</v>
      </c>
      <c r="J83" s="1">
        <v>16</v>
      </c>
      <c r="K83" s="3">
        <v>3</v>
      </c>
      <c r="L83" s="2">
        <v>0</v>
      </c>
      <c r="M83" s="1">
        <v>3</v>
      </c>
      <c r="N83" s="3">
        <v>0</v>
      </c>
      <c r="O83" s="2">
        <v>0</v>
      </c>
      <c r="P83" s="1">
        <v>0</v>
      </c>
      <c r="Q83" s="3">
        <v>1</v>
      </c>
      <c r="R83" s="2">
        <v>1</v>
      </c>
      <c r="S83" s="1">
        <v>0</v>
      </c>
      <c r="T83" s="3">
        <v>1</v>
      </c>
      <c r="U83" s="2">
        <v>2</v>
      </c>
      <c r="V83" s="1">
        <v>1</v>
      </c>
      <c r="W83" s="3">
        <v>1</v>
      </c>
      <c r="X83" s="2">
        <v>0</v>
      </c>
      <c r="Y83" s="1">
        <v>0</v>
      </c>
      <c r="Z83" s="3">
        <v>0</v>
      </c>
      <c r="AA83" s="2">
        <v>1</v>
      </c>
      <c r="AB83" s="1">
        <v>13</v>
      </c>
      <c r="AC83" s="3">
        <v>17</v>
      </c>
      <c r="AD83" s="2">
        <v>12</v>
      </c>
      <c r="AE83">
        <f t="shared" si="25"/>
        <v>33</v>
      </c>
      <c r="AF83">
        <f t="shared" si="29"/>
        <v>23</v>
      </c>
      <c r="AG83">
        <f t="shared" si="30"/>
        <v>16</v>
      </c>
      <c r="AH83">
        <f t="shared" si="26"/>
        <v>7</v>
      </c>
      <c r="AI83">
        <f t="shared" si="27"/>
        <v>43</v>
      </c>
      <c r="AJ83">
        <f t="shared" si="28"/>
        <v>22</v>
      </c>
      <c r="AK83">
        <f t="shared" si="22"/>
        <v>45.833333333333329</v>
      </c>
      <c r="AL83">
        <f t="shared" si="23"/>
        <v>31.944444444444443</v>
      </c>
      <c r="AM83">
        <f t="shared" si="24"/>
        <v>22.222222222222221</v>
      </c>
    </row>
    <row r="84" spans="1:95" x14ac:dyDescent="0.25">
      <c r="A84" t="s">
        <v>40</v>
      </c>
      <c r="B84">
        <v>25</v>
      </c>
      <c r="C84">
        <v>30</v>
      </c>
      <c r="D84">
        <v>420</v>
      </c>
      <c r="E84">
        <v>425</v>
      </c>
      <c r="F84">
        <v>5724</v>
      </c>
      <c r="G84">
        <v>5809</v>
      </c>
      <c r="H84">
        <v>2.5</v>
      </c>
      <c r="I84" s="4">
        <f t="shared" si="15"/>
        <v>52</v>
      </c>
      <c r="J84" s="1">
        <v>8</v>
      </c>
      <c r="K84" s="3">
        <v>5</v>
      </c>
      <c r="L84" s="2">
        <v>0</v>
      </c>
      <c r="M84" s="1">
        <v>0</v>
      </c>
      <c r="N84" s="3">
        <v>1</v>
      </c>
      <c r="O84" s="2">
        <v>3</v>
      </c>
      <c r="P84" s="1">
        <v>0</v>
      </c>
      <c r="Q84" s="3">
        <v>0</v>
      </c>
      <c r="R84" s="2">
        <v>0</v>
      </c>
      <c r="S84" s="1">
        <v>0</v>
      </c>
      <c r="T84" s="3">
        <v>0</v>
      </c>
      <c r="U84" s="2">
        <v>0</v>
      </c>
      <c r="V84" s="1">
        <v>0</v>
      </c>
      <c r="W84" s="3">
        <v>1</v>
      </c>
      <c r="X84" s="2">
        <v>0</v>
      </c>
      <c r="Y84" s="1">
        <v>0</v>
      </c>
      <c r="Z84" s="3">
        <v>0</v>
      </c>
      <c r="AA84" s="2">
        <v>1</v>
      </c>
      <c r="AB84" s="1">
        <v>16</v>
      </c>
      <c r="AC84" s="3">
        <v>11</v>
      </c>
      <c r="AD84" s="2">
        <v>6</v>
      </c>
      <c r="AE84">
        <f t="shared" si="25"/>
        <v>24</v>
      </c>
      <c r="AF84">
        <f t="shared" si="29"/>
        <v>18</v>
      </c>
      <c r="AG84">
        <f t="shared" si="30"/>
        <v>10</v>
      </c>
      <c r="AH84">
        <f t="shared" si="26"/>
        <v>1</v>
      </c>
      <c r="AI84">
        <f t="shared" si="27"/>
        <v>34</v>
      </c>
      <c r="AJ84">
        <f t="shared" si="28"/>
        <v>17</v>
      </c>
      <c r="AK84">
        <f t="shared" si="22"/>
        <v>46.153846153846153</v>
      </c>
      <c r="AL84">
        <f t="shared" si="23"/>
        <v>34.615384615384613</v>
      </c>
      <c r="AM84">
        <f t="shared" si="24"/>
        <v>19.230769230769234</v>
      </c>
    </row>
    <row r="85" spans="1:95" s="5" customFormat="1" x14ac:dyDescent="0.25">
      <c r="A85" t="s">
        <v>40</v>
      </c>
      <c r="B85">
        <v>30</v>
      </c>
      <c r="C85">
        <v>35</v>
      </c>
      <c r="D85">
        <v>425</v>
      </c>
      <c r="E85">
        <v>430</v>
      </c>
      <c r="F85">
        <v>5809</v>
      </c>
      <c r="G85">
        <v>5897</v>
      </c>
      <c r="H85">
        <v>2.5</v>
      </c>
      <c r="I85" s="4">
        <f t="shared" si="15"/>
        <v>80</v>
      </c>
      <c r="J85" s="1">
        <v>19</v>
      </c>
      <c r="K85" s="3">
        <v>10</v>
      </c>
      <c r="L85" s="2">
        <v>0</v>
      </c>
      <c r="M85" s="1">
        <v>2</v>
      </c>
      <c r="N85" s="3">
        <v>1</v>
      </c>
      <c r="O85" s="2">
        <v>0</v>
      </c>
      <c r="P85" s="1">
        <v>0</v>
      </c>
      <c r="Q85" s="3">
        <v>1</v>
      </c>
      <c r="R85" s="2">
        <v>3</v>
      </c>
      <c r="S85" s="1">
        <v>0</v>
      </c>
      <c r="T85" s="3">
        <v>2</v>
      </c>
      <c r="U85" s="2">
        <v>0</v>
      </c>
      <c r="V85" s="1">
        <v>2</v>
      </c>
      <c r="W85" s="3">
        <v>1</v>
      </c>
      <c r="X85" s="2">
        <v>1</v>
      </c>
      <c r="Y85" s="1">
        <v>0</v>
      </c>
      <c r="Z85" s="3">
        <v>0</v>
      </c>
      <c r="AA85" s="2">
        <v>0</v>
      </c>
      <c r="AB85" s="1">
        <v>10</v>
      </c>
      <c r="AC85" s="3">
        <v>21</v>
      </c>
      <c r="AD85" s="2">
        <v>7</v>
      </c>
      <c r="AE85">
        <f t="shared" si="25"/>
        <v>33</v>
      </c>
      <c r="AF85">
        <f t="shared" si="29"/>
        <v>36</v>
      </c>
      <c r="AG85">
        <f t="shared" si="30"/>
        <v>11</v>
      </c>
      <c r="AH85">
        <f t="shared" si="26"/>
        <v>10</v>
      </c>
      <c r="AI85">
        <f t="shared" si="27"/>
        <v>38</v>
      </c>
      <c r="AJ85">
        <f t="shared" si="28"/>
        <v>32</v>
      </c>
      <c r="AK85">
        <f t="shared" si="22"/>
        <v>41.25</v>
      </c>
      <c r="AL85">
        <f t="shared" si="23"/>
        <v>45</v>
      </c>
      <c r="AM85">
        <f t="shared" si="24"/>
        <v>13.750000000000002</v>
      </c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</row>
    <row r="86" spans="1:95" x14ac:dyDescent="0.25">
      <c r="A86" t="s">
        <v>40</v>
      </c>
      <c r="B86">
        <v>35</v>
      </c>
      <c r="C86">
        <v>40</v>
      </c>
      <c r="D86">
        <v>430</v>
      </c>
      <c r="E86">
        <v>435</v>
      </c>
      <c r="F86">
        <v>5897</v>
      </c>
      <c r="G86">
        <v>5976</v>
      </c>
      <c r="H86">
        <v>2.5</v>
      </c>
      <c r="I86" s="4">
        <f t="shared" si="15"/>
        <v>123</v>
      </c>
      <c r="J86" s="1">
        <v>20</v>
      </c>
      <c r="K86" s="3">
        <v>5</v>
      </c>
      <c r="L86" s="2">
        <v>2</v>
      </c>
      <c r="M86" s="1">
        <v>3</v>
      </c>
      <c r="N86" s="3">
        <v>1</v>
      </c>
      <c r="O86" s="2">
        <v>0</v>
      </c>
      <c r="P86" s="1">
        <v>2</v>
      </c>
      <c r="Q86" s="3">
        <v>2</v>
      </c>
      <c r="R86" s="2">
        <v>3</v>
      </c>
      <c r="S86" s="1">
        <v>0</v>
      </c>
      <c r="T86" s="3">
        <v>2</v>
      </c>
      <c r="U86" s="2">
        <v>3</v>
      </c>
      <c r="V86" s="1">
        <v>2</v>
      </c>
      <c r="W86" s="3">
        <v>8</v>
      </c>
      <c r="X86" s="2">
        <v>1</v>
      </c>
      <c r="Y86" s="1">
        <v>0</v>
      </c>
      <c r="Z86" s="3">
        <v>0</v>
      </c>
      <c r="AA86" s="2">
        <v>0</v>
      </c>
      <c r="AB86" s="1">
        <v>33</v>
      </c>
      <c r="AC86" s="3">
        <v>17</v>
      </c>
      <c r="AD86" s="2">
        <v>19</v>
      </c>
      <c r="AE86">
        <f t="shared" si="25"/>
        <v>60</v>
      </c>
      <c r="AF86">
        <f t="shared" si="29"/>
        <v>35</v>
      </c>
      <c r="AG86">
        <f t="shared" si="30"/>
        <v>28</v>
      </c>
      <c r="AH86">
        <f t="shared" si="26"/>
        <v>23</v>
      </c>
      <c r="AI86">
        <f t="shared" si="27"/>
        <v>69</v>
      </c>
      <c r="AJ86">
        <f t="shared" si="28"/>
        <v>31</v>
      </c>
      <c r="AK86">
        <f t="shared" si="22"/>
        <v>48.780487804878049</v>
      </c>
      <c r="AL86">
        <f t="shared" si="23"/>
        <v>28.455284552845526</v>
      </c>
      <c r="AM86">
        <f t="shared" si="24"/>
        <v>22.76422764227642</v>
      </c>
    </row>
    <row r="87" spans="1:95" x14ac:dyDescent="0.25">
      <c r="A87" t="s">
        <v>40</v>
      </c>
      <c r="B87">
        <v>40</v>
      </c>
      <c r="C87">
        <v>45</v>
      </c>
      <c r="D87">
        <v>435</v>
      </c>
      <c r="E87">
        <v>440</v>
      </c>
      <c r="F87">
        <v>5976</v>
      </c>
      <c r="G87">
        <v>6059</v>
      </c>
      <c r="H87">
        <v>2.5</v>
      </c>
      <c r="I87" s="4">
        <f t="shared" si="15"/>
        <v>25</v>
      </c>
      <c r="J87" s="1">
        <v>5</v>
      </c>
      <c r="K87" s="3">
        <v>3</v>
      </c>
      <c r="L87" s="2">
        <v>0</v>
      </c>
      <c r="M87" s="1">
        <v>0</v>
      </c>
      <c r="N87" s="3">
        <v>1</v>
      </c>
      <c r="O87" s="2">
        <v>0</v>
      </c>
      <c r="P87" s="1">
        <v>0</v>
      </c>
      <c r="Q87" s="3">
        <v>1</v>
      </c>
      <c r="R87" s="2">
        <v>0</v>
      </c>
      <c r="S87" s="1">
        <v>0</v>
      </c>
      <c r="T87" s="3">
        <v>0</v>
      </c>
      <c r="U87" s="2">
        <v>0</v>
      </c>
      <c r="V87" s="1">
        <v>0</v>
      </c>
      <c r="W87" s="3">
        <v>0</v>
      </c>
      <c r="X87" s="2">
        <v>0</v>
      </c>
      <c r="Y87" s="1">
        <v>0</v>
      </c>
      <c r="Z87" s="3">
        <v>0</v>
      </c>
      <c r="AA87" s="2">
        <v>1</v>
      </c>
      <c r="AB87" s="1">
        <v>4</v>
      </c>
      <c r="AC87" s="3">
        <v>6</v>
      </c>
      <c r="AD87" s="2">
        <v>4</v>
      </c>
      <c r="AE87">
        <f t="shared" si="25"/>
        <v>9</v>
      </c>
      <c r="AF87">
        <f t="shared" si="29"/>
        <v>11</v>
      </c>
      <c r="AG87">
        <f t="shared" si="30"/>
        <v>5</v>
      </c>
      <c r="AH87">
        <f t="shared" si="26"/>
        <v>1</v>
      </c>
      <c r="AI87">
        <f t="shared" si="27"/>
        <v>15</v>
      </c>
      <c r="AJ87">
        <f t="shared" si="28"/>
        <v>9</v>
      </c>
      <c r="AK87">
        <f t="shared" si="22"/>
        <v>36</v>
      </c>
      <c r="AL87">
        <f t="shared" si="23"/>
        <v>44</v>
      </c>
      <c r="AM87">
        <f t="shared" si="24"/>
        <v>20</v>
      </c>
    </row>
    <row r="88" spans="1:95" x14ac:dyDescent="0.25">
      <c r="A88" t="s">
        <v>40</v>
      </c>
      <c r="B88">
        <v>45</v>
      </c>
      <c r="C88">
        <v>50</v>
      </c>
      <c r="D88">
        <v>440</v>
      </c>
      <c r="E88">
        <v>445</v>
      </c>
      <c r="F88">
        <v>6059</v>
      </c>
      <c r="G88">
        <v>6135</v>
      </c>
      <c r="H88">
        <v>2.5</v>
      </c>
      <c r="I88" s="4">
        <f t="shared" si="15"/>
        <v>47</v>
      </c>
      <c r="J88" s="1">
        <v>7</v>
      </c>
      <c r="K88" s="3">
        <v>5</v>
      </c>
      <c r="L88" s="2">
        <v>0</v>
      </c>
      <c r="M88" s="1">
        <v>0</v>
      </c>
      <c r="N88" s="3">
        <v>2</v>
      </c>
      <c r="O88" s="2">
        <v>0</v>
      </c>
      <c r="P88" s="1">
        <v>0</v>
      </c>
      <c r="Q88" s="3">
        <v>1</v>
      </c>
      <c r="R88" s="2">
        <v>1</v>
      </c>
      <c r="S88" s="1">
        <v>1</v>
      </c>
      <c r="T88" s="3">
        <v>2</v>
      </c>
      <c r="U88" s="2">
        <v>0</v>
      </c>
      <c r="V88" s="1">
        <v>0</v>
      </c>
      <c r="W88" s="3">
        <v>0</v>
      </c>
      <c r="X88" s="2">
        <v>1</v>
      </c>
      <c r="Y88" s="1">
        <v>0</v>
      </c>
      <c r="Z88" s="3">
        <v>1</v>
      </c>
      <c r="AA88" s="2">
        <v>2</v>
      </c>
      <c r="AB88" s="1">
        <v>6</v>
      </c>
      <c r="AC88" s="3">
        <v>7</v>
      </c>
      <c r="AD88" s="2">
        <v>11</v>
      </c>
      <c r="AE88">
        <f t="shared" si="25"/>
        <v>14</v>
      </c>
      <c r="AF88">
        <f t="shared" si="29"/>
        <v>18</v>
      </c>
      <c r="AG88">
        <f t="shared" si="30"/>
        <v>15</v>
      </c>
      <c r="AH88">
        <f t="shared" si="26"/>
        <v>6</v>
      </c>
      <c r="AI88">
        <f t="shared" si="27"/>
        <v>27</v>
      </c>
      <c r="AJ88">
        <f t="shared" si="28"/>
        <v>14</v>
      </c>
      <c r="AK88">
        <f t="shared" si="22"/>
        <v>29.787234042553191</v>
      </c>
      <c r="AL88">
        <f t="shared" si="23"/>
        <v>38.297872340425535</v>
      </c>
      <c r="AM88">
        <f t="shared" si="24"/>
        <v>31.914893617021278</v>
      </c>
    </row>
    <row r="89" spans="1:95" x14ac:dyDescent="0.25">
      <c r="A89" t="s">
        <v>40</v>
      </c>
      <c r="B89">
        <v>50</v>
      </c>
      <c r="C89">
        <v>55</v>
      </c>
      <c r="D89">
        <v>445</v>
      </c>
      <c r="E89">
        <v>450</v>
      </c>
      <c r="F89">
        <v>6135</v>
      </c>
      <c r="G89">
        <v>6217</v>
      </c>
      <c r="H89">
        <v>2.5</v>
      </c>
      <c r="I89" s="4">
        <f t="shared" si="15"/>
        <v>141</v>
      </c>
      <c r="J89" s="1">
        <v>20</v>
      </c>
      <c r="K89" s="3">
        <v>11</v>
      </c>
      <c r="L89" s="2">
        <v>4</v>
      </c>
      <c r="M89" s="1">
        <v>0</v>
      </c>
      <c r="N89" s="3">
        <v>0</v>
      </c>
      <c r="O89" s="2">
        <v>0</v>
      </c>
      <c r="P89" s="1">
        <v>2</v>
      </c>
      <c r="Q89" s="3">
        <v>1</v>
      </c>
      <c r="R89" s="2">
        <v>2</v>
      </c>
      <c r="S89" s="1">
        <v>0</v>
      </c>
      <c r="T89" s="3">
        <v>1</v>
      </c>
      <c r="U89" s="2">
        <v>1</v>
      </c>
      <c r="V89" s="1">
        <v>2</v>
      </c>
      <c r="W89" s="3">
        <v>0</v>
      </c>
      <c r="X89" s="2">
        <v>1</v>
      </c>
      <c r="Y89" s="1">
        <v>0</v>
      </c>
      <c r="Z89" s="3">
        <v>1</v>
      </c>
      <c r="AA89" s="2">
        <v>1</v>
      </c>
      <c r="AB89" s="1">
        <v>27</v>
      </c>
      <c r="AC89" s="3">
        <v>32</v>
      </c>
      <c r="AD89" s="2">
        <v>35</v>
      </c>
      <c r="AE89">
        <f t="shared" si="25"/>
        <v>51</v>
      </c>
      <c r="AF89">
        <f t="shared" si="29"/>
        <v>46</v>
      </c>
      <c r="AG89">
        <f t="shared" si="30"/>
        <v>44</v>
      </c>
      <c r="AH89">
        <f t="shared" si="26"/>
        <v>10</v>
      </c>
      <c r="AI89">
        <f t="shared" si="27"/>
        <v>96</v>
      </c>
      <c r="AJ89">
        <f t="shared" si="28"/>
        <v>35</v>
      </c>
      <c r="AK89">
        <f t="shared" si="22"/>
        <v>36.170212765957451</v>
      </c>
      <c r="AL89">
        <f t="shared" si="23"/>
        <v>32.62411347517731</v>
      </c>
      <c r="AM89">
        <f t="shared" si="24"/>
        <v>31.205673758865249</v>
      </c>
    </row>
    <row r="90" spans="1:95" x14ac:dyDescent="0.25">
      <c r="A90" t="s">
        <v>40</v>
      </c>
      <c r="B90">
        <v>55</v>
      </c>
      <c r="C90">
        <v>60</v>
      </c>
      <c r="D90">
        <v>450</v>
      </c>
      <c r="E90">
        <v>455</v>
      </c>
      <c r="F90">
        <v>6217</v>
      </c>
      <c r="G90">
        <v>6303</v>
      </c>
      <c r="H90">
        <v>2.5</v>
      </c>
      <c r="I90" s="4">
        <f t="shared" si="15"/>
        <v>92</v>
      </c>
      <c r="J90" s="1">
        <v>7</v>
      </c>
      <c r="K90" s="3">
        <v>2</v>
      </c>
      <c r="L90" s="2">
        <v>0</v>
      </c>
      <c r="M90" s="1">
        <v>0</v>
      </c>
      <c r="N90" s="3">
        <v>2</v>
      </c>
      <c r="O90" s="2">
        <v>0</v>
      </c>
      <c r="P90" s="1">
        <v>0</v>
      </c>
      <c r="Q90" s="3">
        <v>2</v>
      </c>
      <c r="R90" s="2">
        <v>7</v>
      </c>
      <c r="S90" s="1">
        <v>0</v>
      </c>
      <c r="T90" s="3">
        <v>5</v>
      </c>
      <c r="U90" s="2">
        <v>5</v>
      </c>
      <c r="V90" s="1">
        <v>3</v>
      </c>
      <c r="W90" s="3">
        <v>3</v>
      </c>
      <c r="X90" s="2">
        <v>1</v>
      </c>
      <c r="Y90" s="1">
        <v>0</v>
      </c>
      <c r="Z90" s="3">
        <v>4</v>
      </c>
      <c r="AA90" s="2">
        <v>3</v>
      </c>
      <c r="AB90" s="1">
        <v>18</v>
      </c>
      <c r="AC90" s="3">
        <v>19</v>
      </c>
      <c r="AD90" s="2">
        <v>11</v>
      </c>
      <c r="AE90">
        <f t="shared" si="25"/>
        <v>28</v>
      </c>
      <c r="AF90">
        <f t="shared" si="29"/>
        <v>37</v>
      </c>
      <c r="AG90">
        <f t="shared" si="30"/>
        <v>27</v>
      </c>
      <c r="AH90">
        <f t="shared" si="26"/>
        <v>26</v>
      </c>
      <c r="AI90">
        <f t="shared" si="27"/>
        <v>55</v>
      </c>
      <c r="AJ90">
        <f t="shared" si="28"/>
        <v>11</v>
      </c>
      <c r="AK90">
        <f t="shared" si="22"/>
        <v>30.434782608695656</v>
      </c>
      <c r="AL90">
        <f t="shared" si="23"/>
        <v>40.217391304347828</v>
      </c>
      <c r="AM90">
        <f t="shared" si="24"/>
        <v>29.347826086956523</v>
      </c>
    </row>
    <row r="91" spans="1:95" x14ac:dyDescent="0.25">
      <c r="A91" t="s">
        <v>40</v>
      </c>
      <c r="B91">
        <v>60</v>
      </c>
      <c r="C91">
        <v>65</v>
      </c>
      <c r="D91">
        <v>455</v>
      </c>
      <c r="E91">
        <v>460</v>
      </c>
      <c r="F91">
        <v>6303</v>
      </c>
      <c r="G91">
        <v>6391</v>
      </c>
      <c r="H91">
        <v>2.5</v>
      </c>
      <c r="I91" s="4">
        <f t="shared" si="15"/>
        <v>57</v>
      </c>
      <c r="J91" s="1">
        <v>10</v>
      </c>
      <c r="K91" s="3">
        <v>2</v>
      </c>
      <c r="L91" s="2">
        <v>2</v>
      </c>
      <c r="M91" s="1">
        <v>0</v>
      </c>
      <c r="N91" s="3">
        <v>0</v>
      </c>
      <c r="O91" s="2">
        <v>1</v>
      </c>
      <c r="P91" s="1">
        <v>1</v>
      </c>
      <c r="Q91" s="3">
        <v>1</v>
      </c>
      <c r="R91" s="2">
        <v>4</v>
      </c>
      <c r="S91" s="1">
        <v>0</v>
      </c>
      <c r="T91" s="3">
        <v>1</v>
      </c>
      <c r="U91" s="2">
        <v>6</v>
      </c>
      <c r="V91" s="1">
        <v>1</v>
      </c>
      <c r="W91" s="3">
        <v>1</v>
      </c>
      <c r="X91" s="2">
        <v>2</v>
      </c>
      <c r="Y91" s="1">
        <v>0</v>
      </c>
      <c r="Z91" s="3">
        <v>2</v>
      </c>
      <c r="AA91" s="2">
        <v>0</v>
      </c>
      <c r="AB91" s="1">
        <v>13</v>
      </c>
      <c r="AC91" s="3">
        <v>3</v>
      </c>
      <c r="AD91" s="2">
        <v>7</v>
      </c>
      <c r="AE91">
        <f t="shared" si="25"/>
        <v>25</v>
      </c>
      <c r="AF91">
        <f t="shared" si="29"/>
        <v>10</v>
      </c>
      <c r="AG91">
        <f t="shared" si="30"/>
        <v>22</v>
      </c>
      <c r="AH91">
        <f t="shared" si="26"/>
        <v>17</v>
      </c>
      <c r="AI91">
        <f t="shared" si="27"/>
        <v>25</v>
      </c>
      <c r="AJ91">
        <f t="shared" si="28"/>
        <v>15</v>
      </c>
      <c r="AK91">
        <f t="shared" si="22"/>
        <v>43.859649122807014</v>
      </c>
      <c r="AL91">
        <f t="shared" si="23"/>
        <v>17.543859649122805</v>
      </c>
      <c r="AM91">
        <f t="shared" si="24"/>
        <v>38.596491228070171</v>
      </c>
    </row>
    <row r="92" spans="1:95" x14ac:dyDescent="0.25">
      <c r="A92" t="s">
        <v>40</v>
      </c>
      <c r="B92">
        <v>65</v>
      </c>
      <c r="C92">
        <v>70</v>
      </c>
      <c r="D92">
        <v>460</v>
      </c>
      <c r="E92">
        <v>465</v>
      </c>
      <c r="F92">
        <v>6391</v>
      </c>
      <c r="G92">
        <v>6465</v>
      </c>
      <c r="H92">
        <v>2.5</v>
      </c>
      <c r="I92" s="4">
        <f t="shared" si="15"/>
        <v>51</v>
      </c>
      <c r="J92" s="1">
        <v>14</v>
      </c>
      <c r="K92" s="3">
        <v>4</v>
      </c>
      <c r="L92" s="2">
        <v>1</v>
      </c>
      <c r="M92" s="1">
        <v>0</v>
      </c>
      <c r="N92" s="3">
        <v>1</v>
      </c>
      <c r="O92" s="2">
        <v>0</v>
      </c>
      <c r="P92" s="1">
        <v>0</v>
      </c>
      <c r="Q92" s="3">
        <v>2</v>
      </c>
      <c r="R92" s="2">
        <v>2</v>
      </c>
      <c r="S92" s="1">
        <v>0</v>
      </c>
      <c r="T92" s="3">
        <v>2</v>
      </c>
      <c r="U92" s="2">
        <v>0</v>
      </c>
      <c r="V92" s="1">
        <v>0</v>
      </c>
      <c r="W92" s="3">
        <v>1</v>
      </c>
      <c r="X92" s="2">
        <v>0</v>
      </c>
      <c r="Y92" s="1">
        <v>0</v>
      </c>
      <c r="Z92" s="3">
        <v>0</v>
      </c>
      <c r="AA92" s="2">
        <v>1</v>
      </c>
      <c r="AB92" s="1">
        <v>8</v>
      </c>
      <c r="AC92" s="3">
        <v>9</v>
      </c>
      <c r="AD92" s="2">
        <v>6</v>
      </c>
      <c r="AE92">
        <f t="shared" si="25"/>
        <v>22</v>
      </c>
      <c r="AF92">
        <f t="shared" si="29"/>
        <v>19</v>
      </c>
      <c r="AG92">
        <f t="shared" si="30"/>
        <v>10</v>
      </c>
      <c r="AH92">
        <f t="shared" si="26"/>
        <v>7</v>
      </c>
      <c r="AI92">
        <f t="shared" si="27"/>
        <v>24</v>
      </c>
      <c r="AJ92">
        <f t="shared" si="28"/>
        <v>20</v>
      </c>
      <c r="AK92">
        <f t="shared" si="22"/>
        <v>43.137254901960787</v>
      </c>
      <c r="AL92">
        <f t="shared" si="23"/>
        <v>37.254901960784316</v>
      </c>
      <c r="AM92">
        <f t="shared" si="24"/>
        <v>19.607843137254903</v>
      </c>
    </row>
    <row r="93" spans="1:95" x14ac:dyDescent="0.25">
      <c r="A93" t="s">
        <v>40</v>
      </c>
      <c r="B93">
        <v>70</v>
      </c>
      <c r="C93">
        <v>75</v>
      </c>
      <c r="D93">
        <v>465</v>
      </c>
      <c r="E93">
        <v>470</v>
      </c>
      <c r="F93">
        <v>6465</v>
      </c>
      <c r="G93">
        <v>6541</v>
      </c>
      <c r="H93">
        <v>2.5</v>
      </c>
      <c r="I93" s="4">
        <f t="shared" si="15"/>
        <v>51</v>
      </c>
      <c r="J93" s="1">
        <v>6</v>
      </c>
      <c r="K93" s="3">
        <v>2</v>
      </c>
      <c r="L93" s="2">
        <v>3</v>
      </c>
      <c r="M93" s="1">
        <v>2</v>
      </c>
      <c r="N93" s="3">
        <v>0</v>
      </c>
      <c r="O93" s="2">
        <v>2</v>
      </c>
      <c r="P93" s="1">
        <v>1</v>
      </c>
      <c r="Q93" s="3">
        <v>0</v>
      </c>
      <c r="R93" s="2">
        <v>1</v>
      </c>
      <c r="S93" s="1">
        <v>0</v>
      </c>
      <c r="T93" s="3">
        <v>3</v>
      </c>
      <c r="U93" s="2">
        <v>4</v>
      </c>
      <c r="V93" s="1">
        <v>3</v>
      </c>
      <c r="W93" s="3">
        <v>1</v>
      </c>
      <c r="X93" s="2">
        <v>0</v>
      </c>
      <c r="Y93" s="1">
        <v>0</v>
      </c>
      <c r="Z93" s="3">
        <v>1</v>
      </c>
      <c r="AA93" s="2">
        <v>1</v>
      </c>
      <c r="AB93" s="1">
        <v>8</v>
      </c>
      <c r="AC93" s="3">
        <v>5</v>
      </c>
      <c r="AD93" s="2">
        <v>8</v>
      </c>
      <c r="AE93">
        <f t="shared" si="25"/>
        <v>20</v>
      </c>
      <c r="AF93">
        <f t="shared" si="29"/>
        <v>12</v>
      </c>
      <c r="AG93">
        <f t="shared" si="30"/>
        <v>19</v>
      </c>
      <c r="AH93">
        <f t="shared" si="26"/>
        <v>13</v>
      </c>
      <c r="AI93">
        <f t="shared" si="27"/>
        <v>23</v>
      </c>
      <c r="AJ93">
        <f t="shared" si="28"/>
        <v>15</v>
      </c>
      <c r="AK93">
        <f t="shared" si="22"/>
        <v>39.215686274509807</v>
      </c>
      <c r="AL93">
        <f t="shared" si="23"/>
        <v>23.52941176470588</v>
      </c>
      <c r="AM93">
        <f t="shared" si="24"/>
        <v>37.254901960784316</v>
      </c>
    </row>
    <row r="94" spans="1:95" x14ac:dyDescent="0.25">
      <c r="A94" t="s">
        <v>40</v>
      </c>
      <c r="B94">
        <v>75</v>
      </c>
      <c r="C94">
        <v>80</v>
      </c>
      <c r="D94">
        <v>470</v>
      </c>
      <c r="E94">
        <v>475</v>
      </c>
      <c r="F94">
        <v>6541</v>
      </c>
      <c r="G94">
        <v>6625</v>
      </c>
      <c r="H94">
        <v>2.5</v>
      </c>
      <c r="I94" s="4">
        <f t="shared" si="15"/>
        <v>98</v>
      </c>
      <c r="J94" s="1">
        <v>17</v>
      </c>
      <c r="K94" s="3">
        <v>4</v>
      </c>
      <c r="L94" s="2">
        <v>0</v>
      </c>
      <c r="M94" s="1">
        <v>0</v>
      </c>
      <c r="N94" s="3">
        <v>2</v>
      </c>
      <c r="O94" s="2">
        <v>0</v>
      </c>
      <c r="P94" s="1">
        <v>0</v>
      </c>
      <c r="Q94" s="3">
        <v>1</v>
      </c>
      <c r="R94" s="2">
        <v>1</v>
      </c>
      <c r="S94" s="1">
        <v>0</v>
      </c>
      <c r="T94" s="3">
        <v>0</v>
      </c>
      <c r="U94" s="2">
        <v>2</v>
      </c>
      <c r="V94" s="1">
        <v>0</v>
      </c>
      <c r="W94" s="3">
        <v>2</v>
      </c>
      <c r="X94" s="2">
        <v>0</v>
      </c>
      <c r="Y94" s="1">
        <v>0</v>
      </c>
      <c r="Z94" s="3">
        <v>3</v>
      </c>
      <c r="AA94" s="2">
        <v>2</v>
      </c>
      <c r="AB94" s="1">
        <v>17</v>
      </c>
      <c r="AC94" s="3">
        <v>24</v>
      </c>
      <c r="AD94" s="2">
        <v>23</v>
      </c>
      <c r="AE94">
        <f t="shared" si="25"/>
        <v>34</v>
      </c>
      <c r="AF94">
        <f t="shared" si="29"/>
        <v>36</v>
      </c>
      <c r="AG94">
        <f t="shared" si="30"/>
        <v>28</v>
      </c>
      <c r="AH94">
        <f t="shared" si="26"/>
        <v>6</v>
      </c>
      <c r="AI94">
        <f t="shared" si="27"/>
        <v>69</v>
      </c>
      <c r="AJ94">
        <f t="shared" si="28"/>
        <v>23</v>
      </c>
      <c r="AK94">
        <f t="shared" si="22"/>
        <v>34.693877551020407</v>
      </c>
      <c r="AL94">
        <f t="shared" si="23"/>
        <v>36.734693877551024</v>
      </c>
      <c r="AM94">
        <f t="shared" si="24"/>
        <v>28.571428571428569</v>
      </c>
    </row>
    <row r="95" spans="1:95" x14ac:dyDescent="0.25">
      <c r="A95" t="s">
        <v>40</v>
      </c>
      <c r="B95">
        <v>80</v>
      </c>
      <c r="C95">
        <v>85</v>
      </c>
      <c r="D95">
        <v>475</v>
      </c>
      <c r="E95">
        <v>480</v>
      </c>
      <c r="F95">
        <v>6625</v>
      </c>
      <c r="G95">
        <v>6710</v>
      </c>
      <c r="H95">
        <v>2.5</v>
      </c>
      <c r="I95" s="4">
        <f t="shared" si="15"/>
        <v>83</v>
      </c>
      <c r="J95" s="1">
        <v>14</v>
      </c>
      <c r="K95" s="3">
        <v>4</v>
      </c>
      <c r="L95" s="2">
        <v>1</v>
      </c>
      <c r="M95" s="1">
        <v>1</v>
      </c>
      <c r="N95" s="3">
        <v>1</v>
      </c>
      <c r="O95" s="2">
        <v>1</v>
      </c>
      <c r="P95" s="1">
        <v>1</v>
      </c>
      <c r="Q95" s="3">
        <v>2</v>
      </c>
      <c r="R95" s="2">
        <v>0</v>
      </c>
      <c r="S95" s="1">
        <v>0</v>
      </c>
      <c r="T95" s="3">
        <v>0</v>
      </c>
      <c r="U95" s="2">
        <v>1</v>
      </c>
      <c r="V95" s="1">
        <v>2</v>
      </c>
      <c r="W95" s="3">
        <v>4</v>
      </c>
      <c r="X95" s="2">
        <v>1</v>
      </c>
      <c r="Y95" s="1">
        <v>0</v>
      </c>
      <c r="Z95" s="3">
        <v>2</v>
      </c>
      <c r="AA95" s="2">
        <v>1</v>
      </c>
      <c r="AB95" s="1">
        <v>15</v>
      </c>
      <c r="AC95" s="3">
        <v>19</v>
      </c>
      <c r="AD95" s="2">
        <v>13</v>
      </c>
      <c r="AE95">
        <f t="shared" si="25"/>
        <v>33</v>
      </c>
      <c r="AF95">
        <f t="shared" si="29"/>
        <v>32</v>
      </c>
      <c r="AG95">
        <f t="shared" si="30"/>
        <v>18</v>
      </c>
      <c r="AH95">
        <f t="shared" si="26"/>
        <v>11</v>
      </c>
      <c r="AI95">
        <f t="shared" si="27"/>
        <v>50</v>
      </c>
      <c r="AJ95">
        <f t="shared" si="28"/>
        <v>22</v>
      </c>
      <c r="AK95">
        <f t="shared" si="22"/>
        <v>39.75903614457831</v>
      </c>
      <c r="AL95">
        <f t="shared" si="23"/>
        <v>38.554216867469883</v>
      </c>
      <c r="AM95">
        <f t="shared" si="24"/>
        <v>21.686746987951807</v>
      </c>
    </row>
    <row r="96" spans="1:95" s="5" customFormat="1" x14ac:dyDescent="0.25">
      <c r="A96" t="s">
        <v>40</v>
      </c>
      <c r="B96">
        <v>85</v>
      </c>
      <c r="C96">
        <v>90</v>
      </c>
      <c r="D96">
        <v>480</v>
      </c>
      <c r="E96">
        <v>485</v>
      </c>
      <c r="F96">
        <v>6710</v>
      </c>
      <c r="G96">
        <v>6769</v>
      </c>
      <c r="H96">
        <v>2.5</v>
      </c>
      <c r="I96" s="4">
        <f t="shared" si="15"/>
        <v>71</v>
      </c>
      <c r="J96" s="1">
        <v>13</v>
      </c>
      <c r="K96" s="3">
        <v>1</v>
      </c>
      <c r="L96" s="2">
        <v>1</v>
      </c>
      <c r="M96" s="1">
        <v>0</v>
      </c>
      <c r="N96" s="3">
        <v>4</v>
      </c>
      <c r="O96" s="2">
        <v>1</v>
      </c>
      <c r="P96" s="1">
        <v>1</v>
      </c>
      <c r="Q96" s="3">
        <v>1</v>
      </c>
      <c r="R96" s="2">
        <v>1</v>
      </c>
      <c r="S96" s="1">
        <v>0</v>
      </c>
      <c r="T96" s="3">
        <v>0</v>
      </c>
      <c r="U96" s="2">
        <v>0</v>
      </c>
      <c r="V96" s="1">
        <v>1</v>
      </c>
      <c r="W96" s="3">
        <v>0</v>
      </c>
      <c r="X96" s="2">
        <v>0</v>
      </c>
      <c r="Y96" s="1">
        <v>0</v>
      </c>
      <c r="Z96" s="3">
        <v>0</v>
      </c>
      <c r="AA96" s="2">
        <v>1</v>
      </c>
      <c r="AB96" s="1">
        <v>18</v>
      </c>
      <c r="AC96" s="3">
        <v>15</v>
      </c>
      <c r="AD96" s="2">
        <v>13</v>
      </c>
      <c r="AE96">
        <f t="shared" si="25"/>
        <v>33</v>
      </c>
      <c r="AF96">
        <f t="shared" si="29"/>
        <v>21</v>
      </c>
      <c r="AG96">
        <f t="shared" si="30"/>
        <v>17</v>
      </c>
      <c r="AH96">
        <f t="shared" si="26"/>
        <v>4</v>
      </c>
      <c r="AI96">
        <f t="shared" si="27"/>
        <v>47</v>
      </c>
      <c r="AJ96">
        <f t="shared" si="28"/>
        <v>20</v>
      </c>
      <c r="AK96">
        <f t="shared" si="22"/>
        <v>46.478873239436616</v>
      </c>
      <c r="AL96">
        <f t="shared" si="23"/>
        <v>29.577464788732392</v>
      </c>
      <c r="AM96">
        <f t="shared" si="24"/>
        <v>23.943661971830984</v>
      </c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</row>
    <row r="97" spans="1:39" x14ac:dyDescent="0.25">
      <c r="A97" t="s">
        <v>40</v>
      </c>
      <c r="B97">
        <v>90</v>
      </c>
      <c r="C97">
        <v>95</v>
      </c>
      <c r="D97">
        <v>485</v>
      </c>
      <c r="E97">
        <v>490</v>
      </c>
      <c r="F97">
        <v>6769</v>
      </c>
      <c r="G97">
        <v>6838</v>
      </c>
      <c r="H97">
        <v>2.5</v>
      </c>
      <c r="I97" s="4">
        <f t="shared" si="15"/>
        <v>94</v>
      </c>
      <c r="J97" s="1">
        <v>7</v>
      </c>
      <c r="K97" s="3">
        <v>2</v>
      </c>
      <c r="L97" s="2">
        <v>1</v>
      </c>
      <c r="M97" s="1">
        <v>1</v>
      </c>
      <c r="N97" s="3">
        <v>0</v>
      </c>
      <c r="O97" s="2">
        <v>0</v>
      </c>
      <c r="P97" s="1">
        <v>0</v>
      </c>
      <c r="Q97" s="3">
        <v>1</v>
      </c>
      <c r="R97" s="2">
        <v>2</v>
      </c>
      <c r="S97" s="1">
        <v>0</v>
      </c>
      <c r="T97" s="3">
        <v>0</v>
      </c>
      <c r="U97" s="2">
        <v>4</v>
      </c>
      <c r="V97" s="1">
        <v>0</v>
      </c>
      <c r="W97" s="3">
        <v>2</v>
      </c>
      <c r="X97" s="2">
        <v>0</v>
      </c>
      <c r="Y97" s="1">
        <v>0</v>
      </c>
      <c r="Z97" s="3">
        <v>0</v>
      </c>
      <c r="AA97" s="2">
        <v>1</v>
      </c>
      <c r="AB97" s="1">
        <v>23</v>
      </c>
      <c r="AC97" s="3">
        <v>19</v>
      </c>
      <c r="AD97" s="2">
        <v>31</v>
      </c>
      <c r="AE97">
        <f t="shared" si="25"/>
        <v>31</v>
      </c>
      <c r="AF97">
        <f t="shared" si="29"/>
        <v>24</v>
      </c>
      <c r="AG97">
        <f t="shared" si="30"/>
        <v>39</v>
      </c>
      <c r="AH97">
        <f t="shared" si="26"/>
        <v>9</v>
      </c>
      <c r="AI97">
        <f t="shared" si="27"/>
        <v>74</v>
      </c>
      <c r="AJ97">
        <f t="shared" si="28"/>
        <v>11</v>
      </c>
      <c r="AK97">
        <f t="shared" si="22"/>
        <v>32.978723404255319</v>
      </c>
      <c r="AL97">
        <f t="shared" si="23"/>
        <v>25.531914893617021</v>
      </c>
      <c r="AM97">
        <f t="shared" si="24"/>
        <v>41.48936170212766</v>
      </c>
    </row>
    <row r="98" spans="1:39" x14ac:dyDescent="0.25">
      <c r="A98" t="s">
        <v>40</v>
      </c>
      <c r="B98">
        <v>95</v>
      </c>
      <c r="C98">
        <v>100</v>
      </c>
      <c r="D98">
        <v>490</v>
      </c>
      <c r="E98">
        <v>495</v>
      </c>
      <c r="F98">
        <v>6838</v>
      </c>
      <c r="G98">
        <v>6912</v>
      </c>
      <c r="H98">
        <v>2.5</v>
      </c>
      <c r="I98" s="4">
        <f t="shared" si="15"/>
        <v>62</v>
      </c>
      <c r="J98" s="1">
        <v>5</v>
      </c>
      <c r="K98" s="3">
        <v>0</v>
      </c>
      <c r="L98" s="2">
        <v>1</v>
      </c>
      <c r="M98" s="1">
        <v>5</v>
      </c>
      <c r="N98" s="3">
        <v>0</v>
      </c>
      <c r="O98" s="2">
        <v>0</v>
      </c>
      <c r="P98" s="1">
        <v>0</v>
      </c>
      <c r="Q98" s="3">
        <v>2</v>
      </c>
      <c r="R98" s="2">
        <v>0</v>
      </c>
      <c r="S98" s="1">
        <v>0</v>
      </c>
      <c r="T98" s="3">
        <v>0</v>
      </c>
      <c r="U98" s="2">
        <v>3</v>
      </c>
      <c r="V98" s="1">
        <v>1</v>
      </c>
      <c r="W98" s="3">
        <v>3</v>
      </c>
      <c r="X98" s="2">
        <v>2</v>
      </c>
      <c r="Y98" s="1">
        <v>0</v>
      </c>
      <c r="Z98" s="3">
        <v>2</v>
      </c>
      <c r="AA98" s="2">
        <v>1</v>
      </c>
      <c r="AB98" s="1">
        <v>8</v>
      </c>
      <c r="AC98" s="3">
        <v>19</v>
      </c>
      <c r="AD98" s="2">
        <v>10</v>
      </c>
      <c r="AE98">
        <f t="shared" si="25"/>
        <v>19</v>
      </c>
      <c r="AF98">
        <f t="shared" si="29"/>
        <v>26</v>
      </c>
      <c r="AG98">
        <f t="shared" si="30"/>
        <v>17</v>
      </c>
      <c r="AH98">
        <f t="shared" si="26"/>
        <v>11</v>
      </c>
      <c r="AI98">
        <f t="shared" si="27"/>
        <v>40</v>
      </c>
      <c r="AJ98">
        <f t="shared" si="28"/>
        <v>11</v>
      </c>
      <c r="AK98">
        <f t="shared" si="22"/>
        <v>30.64516129032258</v>
      </c>
      <c r="AL98">
        <f t="shared" si="23"/>
        <v>41.935483870967744</v>
      </c>
      <c r="AM98">
        <f t="shared" si="24"/>
        <v>27.419354838709676</v>
      </c>
    </row>
    <row r="99" spans="1:39" s="8" customFormat="1" x14ac:dyDescent="0.25">
      <c r="A99" s="8" t="s">
        <v>41</v>
      </c>
      <c r="B99" s="8">
        <v>0</v>
      </c>
      <c r="C99" s="8">
        <v>5</v>
      </c>
      <c r="D99" s="8">
        <v>495</v>
      </c>
      <c r="E99" s="8">
        <v>500</v>
      </c>
      <c r="F99" s="8">
        <v>6912</v>
      </c>
      <c r="G99" s="8">
        <v>6975</v>
      </c>
      <c r="H99" s="8">
        <v>2.5</v>
      </c>
      <c r="I99" s="8">
        <f t="shared" si="15"/>
        <v>56</v>
      </c>
      <c r="J99" s="9">
        <v>7</v>
      </c>
      <c r="K99" s="10">
        <v>2</v>
      </c>
      <c r="L99" s="11">
        <v>0</v>
      </c>
      <c r="M99" s="9">
        <v>0</v>
      </c>
      <c r="N99" s="10">
        <v>1</v>
      </c>
      <c r="O99" s="11">
        <v>0</v>
      </c>
      <c r="P99" s="9">
        <v>1</v>
      </c>
      <c r="Q99" s="10">
        <v>2</v>
      </c>
      <c r="R99" s="11">
        <v>9</v>
      </c>
      <c r="S99" s="9">
        <v>1</v>
      </c>
      <c r="T99" s="10">
        <v>1</v>
      </c>
      <c r="U99" s="11">
        <v>8</v>
      </c>
      <c r="V99" s="9">
        <v>0</v>
      </c>
      <c r="W99" s="10">
        <v>0</v>
      </c>
      <c r="X99" s="11">
        <v>1</v>
      </c>
      <c r="Y99" s="9">
        <v>1</v>
      </c>
      <c r="Z99" s="10">
        <v>0</v>
      </c>
      <c r="AA99" s="11">
        <v>2</v>
      </c>
      <c r="AB99" s="9">
        <v>7</v>
      </c>
      <c r="AC99" s="10">
        <v>5</v>
      </c>
      <c r="AD99" s="11">
        <v>8</v>
      </c>
      <c r="AE99" s="8">
        <f t="shared" si="25"/>
        <v>17</v>
      </c>
      <c r="AF99" s="8">
        <f t="shared" si="29"/>
        <v>11</v>
      </c>
      <c r="AG99" s="8">
        <f t="shared" si="30"/>
        <v>28</v>
      </c>
      <c r="AH99" s="8">
        <f t="shared" si="26"/>
        <v>23</v>
      </c>
      <c r="AI99" s="8">
        <f t="shared" si="27"/>
        <v>23</v>
      </c>
      <c r="AJ99" s="8">
        <f t="shared" si="28"/>
        <v>10</v>
      </c>
      <c r="AK99">
        <f t="shared" si="22"/>
        <v>30.357142857142854</v>
      </c>
      <c r="AL99">
        <f t="shared" si="23"/>
        <v>19.642857142857142</v>
      </c>
      <c r="AM99">
        <f t="shared" si="24"/>
        <v>50</v>
      </c>
    </row>
    <row r="100" spans="1:39" x14ac:dyDescent="0.25">
      <c r="A100" t="s">
        <v>41</v>
      </c>
      <c r="B100">
        <v>5</v>
      </c>
      <c r="C100">
        <v>10</v>
      </c>
      <c r="D100">
        <v>500</v>
      </c>
      <c r="E100">
        <v>505</v>
      </c>
      <c r="F100">
        <v>6975</v>
      </c>
      <c r="G100">
        <v>7038</v>
      </c>
      <c r="H100">
        <v>2.5</v>
      </c>
      <c r="I100" s="4">
        <f t="shared" ref="I100:I147" si="31">SUM(J100:AD100)</f>
        <v>34</v>
      </c>
      <c r="J100" s="1">
        <v>3</v>
      </c>
      <c r="K100" s="3">
        <v>2</v>
      </c>
      <c r="L100" s="2">
        <v>1</v>
      </c>
      <c r="M100" s="1">
        <v>4</v>
      </c>
      <c r="N100" s="3">
        <v>1</v>
      </c>
      <c r="O100" s="2">
        <v>0</v>
      </c>
      <c r="P100" s="1">
        <v>2</v>
      </c>
      <c r="Q100" s="3">
        <v>0</v>
      </c>
      <c r="R100" s="2">
        <v>1</v>
      </c>
      <c r="S100" s="1">
        <v>0</v>
      </c>
      <c r="T100" s="3">
        <v>0</v>
      </c>
      <c r="U100" s="2">
        <v>4</v>
      </c>
      <c r="V100" s="1">
        <v>1</v>
      </c>
      <c r="W100" s="3">
        <v>0</v>
      </c>
      <c r="X100" s="2">
        <v>1</v>
      </c>
      <c r="Y100" s="1">
        <v>1</v>
      </c>
      <c r="Z100" s="3">
        <v>0</v>
      </c>
      <c r="AA100" s="2">
        <v>0</v>
      </c>
      <c r="AB100" s="1">
        <v>1</v>
      </c>
      <c r="AC100" s="3">
        <v>4</v>
      </c>
      <c r="AD100" s="2">
        <v>8</v>
      </c>
      <c r="AE100">
        <f t="shared" si="25"/>
        <v>12</v>
      </c>
      <c r="AF100">
        <f t="shared" si="29"/>
        <v>7</v>
      </c>
      <c r="AG100">
        <f t="shared" si="30"/>
        <v>15</v>
      </c>
      <c r="AH100">
        <f t="shared" si="26"/>
        <v>9</v>
      </c>
      <c r="AI100">
        <f t="shared" si="27"/>
        <v>14</v>
      </c>
      <c r="AJ100">
        <f t="shared" si="28"/>
        <v>11</v>
      </c>
      <c r="AK100">
        <f t="shared" si="22"/>
        <v>35.294117647058826</v>
      </c>
      <c r="AL100">
        <f t="shared" si="23"/>
        <v>20.588235294117645</v>
      </c>
      <c r="AM100">
        <f t="shared" si="24"/>
        <v>44.117647058823529</v>
      </c>
    </row>
    <row r="101" spans="1:39" x14ac:dyDescent="0.25">
      <c r="A101" t="s">
        <v>41</v>
      </c>
      <c r="B101">
        <v>10</v>
      </c>
      <c r="C101">
        <v>15</v>
      </c>
      <c r="D101">
        <v>505</v>
      </c>
      <c r="E101">
        <v>510</v>
      </c>
      <c r="F101">
        <v>7038</v>
      </c>
      <c r="G101">
        <v>7101</v>
      </c>
      <c r="H101">
        <v>2.5</v>
      </c>
      <c r="I101" s="4">
        <f t="shared" si="31"/>
        <v>9</v>
      </c>
      <c r="J101" s="1">
        <v>2</v>
      </c>
      <c r="K101" s="3">
        <v>0</v>
      </c>
      <c r="L101" s="2">
        <v>0</v>
      </c>
      <c r="M101" s="1">
        <v>0</v>
      </c>
      <c r="N101" s="3">
        <v>0</v>
      </c>
      <c r="O101" s="2">
        <v>0</v>
      </c>
      <c r="P101" s="1">
        <v>0</v>
      </c>
      <c r="Q101" s="3">
        <v>0</v>
      </c>
      <c r="R101" s="2">
        <v>0</v>
      </c>
      <c r="S101" s="1">
        <v>0</v>
      </c>
      <c r="T101" s="3">
        <v>0</v>
      </c>
      <c r="U101" s="2">
        <v>2</v>
      </c>
      <c r="V101" s="1">
        <v>1</v>
      </c>
      <c r="W101" s="3">
        <v>0</v>
      </c>
      <c r="X101" s="2">
        <v>0</v>
      </c>
      <c r="Y101" s="1">
        <v>0</v>
      </c>
      <c r="Z101" s="3">
        <v>0</v>
      </c>
      <c r="AA101" s="2">
        <v>0</v>
      </c>
      <c r="AB101" s="1">
        <v>1</v>
      </c>
      <c r="AC101" s="3">
        <v>1</v>
      </c>
      <c r="AD101" s="2">
        <v>2</v>
      </c>
      <c r="AE101">
        <f t="shared" si="25"/>
        <v>4</v>
      </c>
      <c r="AF101">
        <f t="shared" si="29"/>
        <v>1</v>
      </c>
      <c r="AG101">
        <f t="shared" si="30"/>
        <v>4</v>
      </c>
      <c r="AH101">
        <f t="shared" si="26"/>
        <v>3</v>
      </c>
      <c r="AI101">
        <f t="shared" si="27"/>
        <v>4</v>
      </c>
      <c r="AJ101">
        <f t="shared" si="28"/>
        <v>2</v>
      </c>
      <c r="AK101">
        <f t="shared" si="22"/>
        <v>44.444444444444443</v>
      </c>
      <c r="AL101">
        <f t="shared" si="23"/>
        <v>11.111111111111111</v>
      </c>
      <c r="AM101">
        <f t="shared" si="24"/>
        <v>44.444444444444443</v>
      </c>
    </row>
    <row r="102" spans="1:39" x14ac:dyDescent="0.25">
      <c r="A102" t="s">
        <v>41</v>
      </c>
      <c r="B102">
        <v>15</v>
      </c>
      <c r="C102">
        <v>20</v>
      </c>
      <c r="D102">
        <v>510</v>
      </c>
      <c r="E102">
        <v>515</v>
      </c>
      <c r="F102">
        <v>7101</v>
      </c>
      <c r="G102">
        <v>7164</v>
      </c>
      <c r="H102">
        <v>2.5</v>
      </c>
      <c r="I102" s="4">
        <f t="shared" si="31"/>
        <v>18</v>
      </c>
      <c r="J102" s="1">
        <v>0</v>
      </c>
      <c r="K102" s="3">
        <v>2</v>
      </c>
      <c r="L102" s="2">
        <v>1</v>
      </c>
      <c r="M102" s="1">
        <v>1</v>
      </c>
      <c r="N102" s="3">
        <v>0</v>
      </c>
      <c r="O102" s="2">
        <v>0</v>
      </c>
      <c r="P102" s="1">
        <v>0</v>
      </c>
      <c r="Q102" s="3">
        <v>0</v>
      </c>
      <c r="R102" s="2">
        <v>1</v>
      </c>
      <c r="S102" s="1">
        <v>0</v>
      </c>
      <c r="T102" s="3">
        <v>0</v>
      </c>
      <c r="U102" s="2">
        <v>2</v>
      </c>
      <c r="V102" s="1">
        <v>1</v>
      </c>
      <c r="W102" s="3">
        <v>0</v>
      </c>
      <c r="X102" s="2">
        <v>0</v>
      </c>
      <c r="Y102" s="1">
        <v>0</v>
      </c>
      <c r="Z102" s="3">
        <v>1</v>
      </c>
      <c r="AA102" s="2">
        <v>0</v>
      </c>
      <c r="AB102" s="1">
        <v>2</v>
      </c>
      <c r="AC102" s="3">
        <v>1</v>
      </c>
      <c r="AD102" s="2">
        <v>6</v>
      </c>
      <c r="AE102">
        <f t="shared" si="25"/>
        <v>4</v>
      </c>
      <c r="AF102">
        <f t="shared" si="29"/>
        <v>4</v>
      </c>
      <c r="AG102">
        <f t="shared" si="30"/>
        <v>10</v>
      </c>
      <c r="AH102">
        <f t="shared" si="26"/>
        <v>4</v>
      </c>
      <c r="AI102">
        <f t="shared" si="27"/>
        <v>10</v>
      </c>
      <c r="AJ102">
        <f t="shared" si="28"/>
        <v>4</v>
      </c>
      <c r="AK102">
        <f t="shared" si="22"/>
        <v>22.222222222222221</v>
      </c>
      <c r="AL102">
        <f t="shared" si="23"/>
        <v>22.222222222222221</v>
      </c>
      <c r="AM102">
        <f t="shared" si="24"/>
        <v>55.555555555555557</v>
      </c>
    </row>
    <row r="103" spans="1:39" x14ac:dyDescent="0.25">
      <c r="A103" t="s">
        <v>41</v>
      </c>
      <c r="B103">
        <v>20</v>
      </c>
      <c r="C103">
        <v>25</v>
      </c>
      <c r="D103">
        <v>515</v>
      </c>
      <c r="E103">
        <v>520</v>
      </c>
      <c r="F103">
        <v>7164</v>
      </c>
      <c r="G103">
        <v>7217</v>
      </c>
      <c r="H103">
        <v>2.5</v>
      </c>
      <c r="I103" s="4">
        <f t="shared" si="31"/>
        <v>30</v>
      </c>
      <c r="J103" s="1">
        <v>2</v>
      </c>
      <c r="K103" s="3">
        <v>2</v>
      </c>
      <c r="L103" s="2">
        <v>0</v>
      </c>
      <c r="M103" s="1">
        <v>4</v>
      </c>
      <c r="N103" s="3">
        <v>0</v>
      </c>
      <c r="O103" s="2">
        <v>0</v>
      </c>
      <c r="P103" s="1">
        <v>2</v>
      </c>
      <c r="Q103" s="3">
        <v>1</v>
      </c>
      <c r="R103" s="2">
        <v>1</v>
      </c>
      <c r="S103" s="1">
        <v>2</v>
      </c>
      <c r="T103" s="3">
        <v>2</v>
      </c>
      <c r="U103" s="2">
        <v>3</v>
      </c>
      <c r="V103" s="1">
        <v>1</v>
      </c>
      <c r="W103" s="3">
        <v>0</v>
      </c>
      <c r="X103" s="2">
        <v>0</v>
      </c>
      <c r="Y103" s="1">
        <v>0</v>
      </c>
      <c r="Z103" s="3">
        <v>0</v>
      </c>
      <c r="AA103" s="2">
        <v>0</v>
      </c>
      <c r="AB103" s="1">
        <v>2</v>
      </c>
      <c r="AC103" s="3">
        <v>0</v>
      </c>
      <c r="AD103" s="2">
        <v>8</v>
      </c>
      <c r="AE103">
        <f t="shared" si="25"/>
        <v>13</v>
      </c>
      <c r="AF103">
        <f t="shared" si="29"/>
        <v>5</v>
      </c>
      <c r="AG103">
        <f t="shared" si="30"/>
        <v>12</v>
      </c>
      <c r="AH103">
        <f t="shared" si="26"/>
        <v>12</v>
      </c>
      <c r="AI103">
        <f t="shared" si="27"/>
        <v>10</v>
      </c>
      <c r="AJ103">
        <f t="shared" si="28"/>
        <v>8</v>
      </c>
      <c r="AK103">
        <f t="shared" si="22"/>
        <v>43.333333333333336</v>
      </c>
      <c r="AL103">
        <f t="shared" si="23"/>
        <v>16.666666666666664</v>
      </c>
      <c r="AM103">
        <f t="shared" si="24"/>
        <v>40</v>
      </c>
    </row>
    <row r="104" spans="1:39" x14ac:dyDescent="0.25">
      <c r="A104" t="s">
        <v>41</v>
      </c>
      <c r="B104">
        <v>25</v>
      </c>
      <c r="C104">
        <v>30</v>
      </c>
      <c r="D104">
        <v>520</v>
      </c>
      <c r="E104">
        <v>525</v>
      </c>
      <c r="F104">
        <v>7217</v>
      </c>
      <c r="G104">
        <v>7284</v>
      </c>
      <c r="H104">
        <v>2.5</v>
      </c>
      <c r="I104" s="4">
        <f t="shared" si="31"/>
        <v>31</v>
      </c>
      <c r="J104" s="1">
        <v>0</v>
      </c>
      <c r="K104" s="3">
        <v>1</v>
      </c>
      <c r="L104" s="2">
        <v>0</v>
      </c>
      <c r="M104" s="1">
        <v>0</v>
      </c>
      <c r="N104" s="3">
        <v>0</v>
      </c>
      <c r="O104" s="2">
        <v>0</v>
      </c>
      <c r="P104" s="1">
        <v>2</v>
      </c>
      <c r="Q104" s="3">
        <v>1</v>
      </c>
      <c r="R104" s="2">
        <v>1</v>
      </c>
      <c r="S104" s="1">
        <v>1</v>
      </c>
      <c r="T104" s="3">
        <v>2</v>
      </c>
      <c r="U104" s="2">
        <v>3</v>
      </c>
      <c r="V104" s="1">
        <v>1</v>
      </c>
      <c r="W104" s="3">
        <v>1</v>
      </c>
      <c r="X104" s="2">
        <v>1</v>
      </c>
      <c r="Y104" s="1">
        <v>0</v>
      </c>
      <c r="Z104" s="3">
        <v>1</v>
      </c>
      <c r="AA104" s="2">
        <v>1</v>
      </c>
      <c r="AB104" s="1">
        <v>3</v>
      </c>
      <c r="AC104" s="3">
        <v>4</v>
      </c>
      <c r="AD104" s="2">
        <v>8</v>
      </c>
      <c r="AE104">
        <f t="shared" si="25"/>
        <v>7</v>
      </c>
      <c r="AF104">
        <f t="shared" si="29"/>
        <v>10</v>
      </c>
      <c r="AG104">
        <f t="shared" si="30"/>
        <v>14</v>
      </c>
      <c r="AH104">
        <f t="shared" si="26"/>
        <v>13</v>
      </c>
      <c r="AI104">
        <f t="shared" si="27"/>
        <v>17</v>
      </c>
      <c r="AJ104">
        <f t="shared" si="28"/>
        <v>1</v>
      </c>
      <c r="AK104">
        <f t="shared" si="22"/>
        <v>22.58064516129032</v>
      </c>
      <c r="AL104">
        <f t="shared" si="23"/>
        <v>32.258064516129032</v>
      </c>
      <c r="AM104">
        <f t="shared" si="24"/>
        <v>45.161290322580641</v>
      </c>
    </row>
    <row r="105" spans="1:39" x14ac:dyDescent="0.25">
      <c r="A105" t="s">
        <v>41</v>
      </c>
      <c r="B105">
        <v>30</v>
      </c>
      <c r="C105">
        <v>35</v>
      </c>
      <c r="D105">
        <v>525</v>
      </c>
      <c r="E105">
        <v>530</v>
      </c>
      <c r="F105">
        <v>7284</v>
      </c>
      <c r="G105">
        <v>7354</v>
      </c>
      <c r="H105">
        <v>2.5</v>
      </c>
      <c r="I105" s="4">
        <f t="shared" si="31"/>
        <v>53</v>
      </c>
      <c r="J105" s="1">
        <v>3</v>
      </c>
      <c r="K105" s="3">
        <v>1</v>
      </c>
      <c r="L105" s="2">
        <v>2</v>
      </c>
      <c r="M105" s="1">
        <v>4</v>
      </c>
      <c r="N105" s="3">
        <v>0</v>
      </c>
      <c r="O105" s="2">
        <v>1</v>
      </c>
      <c r="P105" s="1">
        <v>1</v>
      </c>
      <c r="Q105" s="3">
        <v>0</v>
      </c>
      <c r="R105" s="2">
        <v>5</v>
      </c>
      <c r="S105" s="1">
        <v>2</v>
      </c>
      <c r="T105" s="3">
        <v>5</v>
      </c>
      <c r="U105" s="2">
        <v>6</v>
      </c>
      <c r="V105" s="1">
        <v>1</v>
      </c>
      <c r="W105" s="3">
        <v>1</v>
      </c>
      <c r="X105" s="2">
        <v>1</v>
      </c>
      <c r="Y105" s="1">
        <v>0</v>
      </c>
      <c r="Z105" s="3">
        <v>1</v>
      </c>
      <c r="AA105" s="2">
        <v>3</v>
      </c>
      <c r="AB105" s="1">
        <v>7</v>
      </c>
      <c r="AC105" s="3">
        <v>1</v>
      </c>
      <c r="AD105" s="2">
        <v>8</v>
      </c>
      <c r="AE105">
        <f t="shared" si="25"/>
        <v>18</v>
      </c>
      <c r="AF105">
        <f t="shared" si="29"/>
        <v>9</v>
      </c>
      <c r="AG105">
        <f t="shared" si="30"/>
        <v>26</v>
      </c>
      <c r="AH105">
        <f t="shared" si="26"/>
        <v>22</v>
      </c>
      <c r="AI105">
        <f t="shared" si="27"/>
        <v>20</v>
      </c>
      <c r="AJ105">
        <f t="shared" si="28"/>
        <v>11</v>
      </c>
      <c r="AK105">
        <f t="shared" si="22"/>
        <v>33.962264150943398</v>
      </c>
      <c r="AL105">
        <f t="shared" si="23"/>
        <v>16.981132075471699</v>
      </c>
      <c r="AM105">
        <f t="shared" si="24"/>
        <v>49.056603773584904</v>
      </c>
    </row>
    <row r="106" spans="1:39" x14ac:dyDescent="0.25">
      <c r="A106" t="s">
        <v>41</v>
      </c>
      <c r="B106">
        <v>35</v>
      </c>
      <c r="C106">
        <v>40</v>
      </c>
      <c r="D106">
        <v>530</v>
      </c>
      <c r="E106">
        <v>535</v>
      </c>
      <c r="F106">
        <v>7354</v>
      </c>
      <c r="G106">
        <v>7422</v>
      </c>
      <c r="H106">
        <v>2.5</v>
      </c>
      <c r="I106" s="4">
        <f t="shared" si="31"/>
        <v>23</v>
      </c>
      <c r="J106" s="1">
        <v>0</v>
      </c>
      <c r="K106" s="3">
        <v>2</v>
      </c>
      <c r="L106" s="2">
        <v>2</v>
      </c>
      <c r="M106" s="1">
        <v>1</v>
      </c>
      <c r="N106" s="3">
        <v>2</v>
      </c>
      <c r="O106" s="2">
        <v>0</v>
      </c>
      <c r="P106" s="1">
        <v>0</v>
      </c>
      <c r="Q106" s="3">
        <v>0</v>
      </c>
      <c r="R106" s="2">
        <v>1</v>
      </c>
      <c r="S106" s="1">
        <v>1</v>
      </c>
      <c r="T106" s="3">
        <v>0</v>
      </c>
      <c r="U106" s="2">
        <v>1</v>
      </c>
      <c r="V106" s="1">
        <v>0</v>
      </c>
      <c r="W106" s="3">
        <v>1</v>
      </c>
      <c r="X106" s="2">
        <v>1</v>
      </c>
      <c r="Y106" s="1">
        <v>0</v>
      </c>
      <c r="Z106" s="3">
        <v>0</v>
      </c>
      <c r="AA106" s="2">
        <v>0</v>
      </c>
      <c r="AB106" s="1">
        <v>3</v>
      </c>
      <c r="AC106" s="3">
        <v>3</v>
      </c>
      <c r="AD106" s="2">
        <v>5</v>
      </c>
      <c r="AE106">
        <f t="shared" si="25"/>
        <v>5</v>
      </c>
      <c r="AF106">
        <f t="shared" si="29"/>
        <v>8</v>
      </c>
      <c r="AG106">
        <f t="shared" si="30"/>
        <v>10</v>
      </c>
      <c r="AH106">
        <f t="shared" si="26"/>
        <v>5</v>
      </c>
      <c r="AI106">
        <f t="shared" si="27"/>
        <v>11</v>
      </c>
      <c r="AJ106">
        <f t="shared" si="28"/>
        <v>7</v>
      </c>
      <c r="AK106">
        <f t="shared" si="22"/>
        <v>21.739130434782609</v>
      </c>
      <c r="AL106">
        <f t="shared" si="23"/>
        <v>34.782608695652172</v>
      </c>
      <c r="AM106">
        <f t="shared" si="24"/>
        <v>43.478260869565219</v>
      </c>
    </row>
    <row r="107" spans="1:39" x14ac:dyDescent="0.25">
      <c r="A107" t="s">
        <v>41</v>
      </c>
      <c r="B107">
        <v>40</v>
      </c>
      <c r="C107">
        <v>45</v>
      </c>
      <c r="D107">
        <v>535</v>
      </c>
      <c r="E107">
        <v>540</v>
      </c>
      <c r="F107">
        <v>7422</v>
      </c>
      <c r="G107">
        <v>7482</v>
      </c>
      <c r="H107">
        <v>2.5</v>
      </c>
      <c r="I107" s="4">
        <f t="shared" si="31"/>
        <v>26</v>
      </c>
      <c r="J107" s="1" t="s">
        <v>47</v>
      </c>
      <c r="K107" s="3">
        <v>0</v>
      </c>
      <c r="L107" s="2">
        <v>1</v>
      </c>
      <c r="M107" s="1">
        <v>0</v>
      </c>
      <c r="N107" s="3">
        <v>0</v>
      </c>
      <c r="O107" s="2">
        <v>0</v>
      </c>
      <c r="P107" s="1">
        <v>1</v>
      </c>
      <c r="Q107" s="3">
        <v>0</v>
      </c>
      <c r="R107" s="2">
        <v>4</v>
      </c>
      <c r="S107" s="1">
        <v>1</v>
      </c>
      <c r="T107" s="3">
        <v>0</v>
      </c>
      <c r="U107" s="2">
        <v>1</v>
      </c>
      <c r="V107" s="1">
        <v>0</v>
      </c>
      <c r="W107" s="3">
        <v>0</v>
      </c>
      <c r="X107" s="2">
        <v>0</v>
      </c>
      <c r="Y107" s="1">
        <v>0</v>
      </c>
      <c r="Z107" s="3">
        <v>1</v>
      </c>
      <c r="AA107" s="2">
        <v>1</v>
      </c>
      <c r="AB107" s="1">
        <v>6</v>
      </c>
      <c r="AC107" s="3">
        <v>4</v>
      </c>
      <c r="AD107" s="2">
        <v>6</v>
      </c>
      <c r="AE107">
        <f t="shared" si="25"/>
        <v>8</v>
      </c>
      <c r="AF107">
        <f t="shared" si="29"/>
        <v>5</v>
      </c>
      <c r="AG107">
        <f t="shared" si="30"/>
        <v>13</v>
      </c>
      <c r="AH107">
        <f t="shared" si="26"/>
        <v>7</v>
      </c>
      <c r="AI107">
        <f t="shared" si="27"/>
        <v>18</v>
      </c>
      <c r="AJ107">
        <f t="shared" si="28"/>
        <v>1</v>
      </c>
      <c r="AK107">
        <f t="shared" si="22"/>
        <v>30.76923076923077</v>
      </c>
      <c r="AL107">
        <f t="shared" si="23"/>
        <v>19.230769230769234</v>
      </c>
      <c r="AM107">
        <f t="shared" si="24"/>
        <v>50</v>
      </c>
    </row>
    <row r="108" spans="1:39" x14ac:dyDescent="0.25">
      <c r="A108" t="s">
        <v>41</v>
      </c>
      <c r="B108">
        <v>45</v>
      </c>
      <c r="C108">
        <v>50</v>
      </c>
      <c r="D108">
        <v>540</v>
      </c>
      <c r="E108">
        <v>545</v>
      </c>
      <c r="F108">
        <v>7482</v>
      </c>
      <c r="G108">
        <v>7545</v>
      </c>
      <c r="H108">
        <v>2.5</v>
      </c>
      <c r="I108" s="4">
        <f t="shared" si="31"/>
        <v>20</v>
      </c>
      <c r="J108" s="1">
        <v>4</v>
      </c>
      <c r="K108" s="3">
        <v>0</v>
      </c>
      <c r="L108" s="2">
        <v>0</v>
      </c>
      <c r="M108" s="1">
        <v>1</v>
      </c>
      <c r="N108" s="3">
        <v>0</v>
      </c>
      <c r="O108" s="2">
        <v>1</v>
      </c>
      <c r="P108" s="1">
        <v>2</v>
      </c>
      <c r="Q108" s="3">
        <v>0</v>
      </c>
      <c r="R108" s="2">
        <v>0</v>
      </c>
      <c r="S108" s="1">
        <v>2</v>
      </c>
      <c r="T108" s="3">
        <v>1</v>
      </c>
      <c r="U108" s="2">
        <v>1</v>
      </c>
      <c r="V108" s="1">
        <v>0</v>
      </c>
      <c r="W108" s="3">
        <v>0</v>
      </c>
      <c r="X108" s="2">
        <v>0</v>
      </c>
      <c r="Y108" s="1">
        <v>0</v>
      </c>
      <c r="Z108" s="3">
        <v>1</v>
      </c>
      <c r="AA108" s="2">
        <v>0</v>
      </c>
      <c r="AB108" s="1">
        <v>1</v>
      </c>
      <c r="AC108" s="3">
        <v>3</v>
      </c>
      <c r="AD108" s="2">
        <v>3</v>
      </c>
      <c r="AE108">
        <f t="shared" si="25"/>
        <v>10</v>
      </c>
      <c r="AF108">
        <f t="shared" si="29"/>
        <v>5</v>
      </c>
      <c r="AG108">
        <f t="shared" si="30"/>
        <v>5</v>
      </c>
      <c r="AH108">
        <f t="shared" si="26"/>
        <v>6</v>
      </c>
      <c r="AI108">
        <f t="shared" si="27"/>
        <v>8</v>
      </c>
      <c r="AJ108">
        <f t="shared" si="28"/>
        <v>6</v>
      </c>
      <c r="AK108">
        <f t="shared" si="22"/>
        <v>50</v>
      </c>
      <c r="AL108">
        <f t="shared" si="23"/>
        <v>25</v>
      </c>
      <c r="AM108">
        <f t="shared" si="24"/>
        <v>25</v>
      </c>
    </row>
    <row r="109" spans="1:39" x14ac:dyDescent="0.25">
      <c r="A109" t="s">
        <v>41</v>
      </c>
      <c r="B109">
        <v>50</v>
      </c>
      <c r="C109">
        <v>55</v>
      </c>
      <c r="D109">
        <v>545</v>
      </c>
      <c r="E109">
        <v>550</v>
      </c>
      <c r="F109">
        <v>7545</v>
      </c>
      <c r="G109">
        <v>7614</v>
      </c>
      <c r="H109">
        <v>2.5</v>
      </c>
      <c r="I109" s="4">
        <f t="shared" si="31"/>
        <v>32</v>
      </c>
      <c r="J109" s="1">
        <v>1</v>
      </c>
      <c r="K109" s="3">
        <v>0</v>
      </c>
      <c r="L109" s="2">
        <v>0</v>
      </c>
      <c r="M109" s="1">
        <v>4</v>
      </c>
      <c r="N109" s="3">
        <v>0</v>
      </c>
      <c r="O109" s="2">
        <v>0</v>
      </c>
      <c r="P109" s="1">
        <v>1</v>
      </c>
      <c r="Q109" s="3">
        <v>0</v>
      </c>
      <c r="R109" s="2">
        <v>3</v>
      </c>
      <c r="S109" s="1">
        <v>0</v>
      </c>
      <c r="T109" s="3">
        <v>0</v>
      </c>
      <c r="U109" s="2">
        <v>1</v>
      </c>
      <c r="V109" s="1">
        <v>1</v>
      </c>
      <c r="W109" s="3">
        <v>0</v>
      </c>
      <c r="X109" s="2">
        <v>0</v>
      </c>
      <c r="Y109" s="1">
        <v>1</v>
      </c>
      <c r="Z109" s="3">
        <v>0</v>
      </c>
      <c r="AA109" s="2">
        <v>0</v>
      </c>
      <c r="AB109" s="1">
        <v>6</v>
      </c>
      <c r="AC109" s="3">
        <v>1</v>
      </c>
      <c r="AD109" s="2">
        <v>13</v>
      </c>
      <c r="AE109">
        <f t="shared" si="25"/>
        <v>14</v>
      </c>
      <c r="AF109">
        <f t="shared" si="29"/>
        <v>1</v>
      </c>
      <c r="AG109">
        <f t="shared" si="30"/>
        <v>17</v>
      </c>
      <c r="AH109">
        <f t="shared" si="26"/>
        <v>6</v>
      </c>
      <c r="AI109">
        <f t="shared" si="27"/>
        <v>21</v>
      </c>
      <c r="AJ109">
        <f t="shared" si="28"/>
        <v>5</v>
      </c>
      <c r="AK109">
        <f t="shared" si="22"/>
        <v>43.75</v>
      </c>
      <c r="AL109">
        <f t="shared" si="23"/>
        <v>3.125</v>
      </c>
      <c r="AM109">
        <f t="shared" si="24"/>
        <v>53.125</v>
      </c>
    </row>
    <row r="110" spans="1:39" s="8" customFormat="1" x14ac:dyDescent="0.25">
      <c r="A110" s="8" t="s">
        <v>42</v>
      </c>
      <c r="B110" s="8">
        <v>3.5</v>
      </c>
      <c r="C110" s="8">
        <v>5</v>
      </c>
      <c r="D110" s="8">
        <v>550</v>
      </c>
      <c r="E110" s="8">
        <v>555</v>
      </c>
      <c r="F110" s="8">
        <v>7614</v>
      </c>
      <c r="G110" s="8">
        <v>7683</v>
      </c>
      <c r="H110" s="8">
        <v>2.5</v>
      </c>
      <c r="I110" s="8">
        <f t="shared" si="31"/>
        <v>23</v>
      </c>
      <c r="J110" s="9">
        <v>1</v>
      </c>
      <c r="K110" s="10">
        <v>0</v>
      </c>
      <c r="L110" s="11">
        <v>0</v>
      </c>
      <c r="M110" s="9">
        <v>0</v>
      </c>
      <c r="N110" s="10">
        <v>2</v>
      </c>
      <c r="O110" s="11">
        <v>0</v>
      </c>
      <c r="P110" s="9">
        <v>0</v>
      </c>
      <c r="Q110" s="10">
        <v>1</v>
      </c>
      <c r="R110" s="11">
        <v>0</v>
      </c>
      <c r="S110" s="9">
        <v>1</v>
      </c>
      <c r="T110" s="10">
        <v>4</v>
      </c>
      <c r="U110" s="11">
        <v>5</v>
      </c>
      <c r="V110" s="9">
        <v>1</v>
      </c>
      <c r="W110" s="10">
        <v>0</v>
      </c>
      <c r="X110" s="11">
        <v>0</v>
      </c>
      <c r="Y110" s="9">
        <v>0</v>
      </c>
      <c r="Z110" s="10">
        <v>0</v>
      </c>
      <c r="AA110" s="11">
        <v>0</v>
      </c>
      <c r="AB110" s="9">
        <v>2</v>
      </c>
      <c r="AC110" s="10">
        <v>3</v>
      </c>
      <c r="AD110" s="11">
        <v>3</v>
      </c>
      <c r="AE110" s="8">
        <f t="shared" si="25"/>
        <v>5</v>
      </c>
      <c r="AF110" s="8">
        <v>10</v>
      </c>
      <c r="AG110" s="8">
        <f t="shared" si="30"/>
        <v>8</v>
      </c>
      <c r="AH110" s="8">
        <f t="shared" si="26"/>
        <v>12</v>
      </c>
      <c r="AI110" s="8">
        <f t="shared" si="27"/>
        <v>8</v>
      </c>
      <c r="AJ110" s="8">
        <f t="shared" si="28"/>
        <v>3</v>
      </c>
      <c r="AK110">
        <f t="shared" si="22"/>
        <v>21.739130434782609</v>
      </c>
      <c r="AL110">
        <f t="shared" si="23"/>
        <v>43.478260869565219</v>
      </c>
      <c r="AM110">
        <f t="shared" si="24"/>
        <v>34.782608695652172</v>
      </c>
    </row>
    <row r="111" spans="1:39" x14ac:dyDescent="0.25">
      <c r="A111" t="s">
        <v>42</v>
      </c>
      <c r="B111">
        <v>5</v>
      </c>
      <c r="C111">
        <v>10</v>
      </c>
      <c r="D111">
        <v>555</v>
      </c>
      <c r="E111">
        <v>560</v>
      </c>
      <c r="F111">
        <v>7683</v>
      </c>
      <c r="G111">
        <v>7751</v>
      </c>
      <c r="H111">
        <v>2.5</v>
      </c>
      <c r="I111" s="4">
        <f t="shared" si="31"/>
        <v>50</v>
      </c>
      <c r="J111" s="1">
        <v>1</v>
      </c>
      <c r="K111" s="3">
        <v>0</v>
      </c>
      <c r="L111" s="2">
        <v>0</v>
      </c>
      <c r="M111" s="1">
        <v>5</v>
      </c>
      <c r="N111" s="3">
        <v>0</v>
      </c>
      <c r="O111" s="2">
        <v>0</v>
      </c>
      <c r="P111" s="1">
        <v>1</v>
      </c>
      <c r="Q111" s="3">
        <v>3</v>
      </c>
      <c r="R111" s="2">
        <v>2</v>
      </c>
      <c r="S111" s="1">
        <v>3</v>
      </c>
      <c r="T111" s="3">
        <v>4</v>
      </c>
      <c r="U111" s="2">
        <v>5</v>
      </c>
      <c r="V111" s="1">
        <v>2</v>
      </c>
      <c r="W111" s="3">
        <v>1</v>
      </c>
      <c r="X111" s="2">
        <v>0</v>
      </c>
      <c r="Y111" s="1">
        <v>1</v>
      </c>
      <c r="Z111" s="3">
        <v>1</v>
      </c>
      <c r="AA111" s="2">
        <v>0</v>
      </c>
      <c r="AB111" s="1">
        <v>2</v>
      </c>
      <c r="AC111" s="3">
        <v>7</v>
      </c>
      <c r="AD111" s="2">
        <v>12</v>
      </c>
      <c r="AE111">
        <f t="shared" si="25"/>
        <v>15</v>
      </c>
      <c r="AF111">
        <f t="shared" si="29"/>
        <v>16</v>
      </c>
      <c r="AG111">
        <f t="shared" si="30"/>
        <v>19</v>
      </c>
      <c r="AH111">
        <f t="shared" si="26"/>
        <v>21</v>
      </c>
      <c r="AI111">
        <f t="shared" si="27"/>
        <v>23</v>
      </c>
      <c r="AJ111">
        <f t="shared" si="28"/>
        <v>6</v>
      </c>
      <c r="AK111">
        <f t="shared" si="22"/>
        <v>30</v>
      </c>
      <c r="AL111">
        <f t="shared" si="23"/>
        <v>32</v>
      </c>
      <c r="AM111">
        <f t="shared" si="24"/>
        <v>38</v>
      </c>
    </row>
    <row r="112" spans="1:39" x14ac:dyDescent="0.25">
      <c r="A112" t="s">
        <v>42</v>
      </c>
      <c r="B112">
        <v>10</v>
      </c>
      <c r="C112">
        <v>15</v>
      </c>
      <c r="D112">
        <v>560</v>
      </c>
      <c r="E112">
        <v>565</v>
      </c>
      <c r="F112">
        <v>7751</v>
      </c>
      <c r="G112">
        <v>7809</v>
      </c>
      <c r="H112">
        <v>2.5</v>
      </c>
      <c r="I112" s="4">
        <f t="shared" si="31"/>
        <v>35</v>
      </c>
      <c r="J112" s="1">
        <v>2</v>
      </c>
      <c r="K112" s="3">
        <v>1</v>
      </c>
      <c r="L112" s="2">
        <v>0</v>
      </c>
      <c r="M112" s="1">
        <v>3</v>
      </c>
      <c r="N112" s="3">
        <v>2</v>
      </c>
      <c r="O112" s="2">
        <v>0</v>
      </c>
      <c r="P112" s="1">
        <v>1</v>
      </c>
      <c r="Q112" s="3">
        <v>2</v>
      </c>
      <c r="R112" s="2">
        <v>3</v>
      </c>
      <c r="S112" s="1">
        <v>1</v>
      </c>
      <c r="T112" s="3">
        <v>4</v>
      </c>
      <c r="U112" s="2">
        <v>2</v>
      </c>
      <c r="V112" s="1">
        <v>0</v>
      </c>
      <c r="W112" s="3">
        <v>0</v>
      </c>
      <c r="X112" s="2">
        <v>0</v>
      </c>
      <c r="Y112" s="1">
        <v>0</v>
      </c>
      <c r="Z112" s="3">
        <v>0</v>
      </c>
      <c r="AA112" s="2">
        <v>1</v>
      </c>
      <c r="AB112" s="1">
        <v>2</v>
      </c>
      <c r="AC112" s="3">
        <v>6</v>
      </c>
      <c r="AD112" s="2">
        <v>5</v>
      </c>
      <c r="AE112">
        <f t="shared" si="25"/>
        <v>9</v>
      </c>
      <c r="AF112">
        <f t="shared" si="29"/>
        <v>15</v>
      </c>
      <c r="AG112">
        <f t="shared" si="30"/>
        <v>11</v>
      </c>
      <c r="AH112">
        <f t="shared" si="26"/>
        <v>13</v>
      </c>
      <c r="AI112">
        <f t="shared" si="27"/>
        <v>14</v>
      </c>
      <c r="AJ112">
        <f t="shared" si="28"/>
        <v>8</v>
      </c>
      <c r="AK112">
        <f t="shared" si="22"/>
        <v>25.714285714285712</v>
      </c>
      <c r="AL112">
        <f t="shared" si="23"/>
        <v>42.857142857142854</v>
      </c>
      <c r="AM112">
        <f t="shared" si="24"/>
        <v>31.428571428571427</v>
      </c>
    </row>
    <row r="113" spans="1:95" x14ac:dyDescent="0.25">
      <c r="A113" t="s">
        <v>42</v>
      </c>
      <c r="B113">
        <v>15</v>
      </c>
      <c r="C113">
        <v>20</v>
      </c>
      <c r="D113">
        <v>565</v>
      </c>
      <c r="E113">
        <v>570</v>
      </c>
      <c r="F113">
        <v>7809</v>
      </c>
      <c r="G113">
        <v>7867</v>
      </c>
      <c r="H113">
        <v>2.5</v>
      </c>
      <c r="I113" s="4">
        <f t="shared" si="31"/>
        <v>29</v>
      </c>
      <c r="J113" s="1">
        <v>0</v>
      </c>
      <c r="K113" s="3">
        <v>0</v>
      </c>
      <c r="L113" s="2">
        <v>0</v>
      </c>
      <c r="M113" s="1">
        <v>6</v>
      </c>
      <c r="N113" s="3">
        <v>2</v>
      </c>
      <c r="O113" s="2">
        <v>0</v>
      </c>
      <c r="P113" s="1">
        <v>0</v>
      </c>
      <c r="Q113" s="3">
        <v>2</v>
      </c>
      <c r="R113" s="2">
        <v>1</v>
      </c>
      <c r="S113" s="1">
        <v>6</v>
      </c>
      <c r="T113" s="3">
        <v>2</v>
      </c>
      <c r="U113" s="2">
        <v>2</v>
      </c>
      <c r="V113" s="1">
        <v>0</v>
      </c>
      <c r="W113" s="3">
        <v>0</v>
      </c>
      <c r="X113" s="2">
        <v>1</v>
      </c>
      <c r="Y113" s="1">
        <v>0</v>
      </c>
      <c r="Z113" s="3">
        <v>0</v>
      </c>
      <c r="AA113" s="2">
        <v>0</v>
      </c>
      <c r="AB113" s="1">
        <v>3</v>
      </c>
      <c r="AC113" s="3">
        <v>2</v>
      </c>
      <c r="AD113" s="2">
        <v>2</v>
      </c>
      <c r="AE113">
        <f t="shared" si="25"/>
        <v>15</v>
      </c>
      <c r="AF113">
        <f t="shared" si="29"/>
        <v>8</v>
      </c>
      <c r="AG113">
        <f t="shared" si="30"/>
        <v>6</v>
      </c>
      <c r="AH113">
        <f t="shared" si="26"/>
        <v>14</v>
      </c>
      <c r="AI113">
        <f t="shared" si="27"/>
        <v>7</v>
      </c>
      <c r="AJ113">
        <f t="shared" si="28"/>
        <v>8</v>
      </c>
      <c r="AK113">
        <f t="shared" si="22"/>
        <v>51.724137931034484</v>
      </c>
      <c r="AL113">
        <f t="shared" si="23"/>
        <v>27.586206896551722</v>
      </c>
      <c r="AM113">
        <f t="shared" si="24"/>
        <v>20.689655172413794</v>
      </c>
    </row>
    <row r="114" spans="1:95" x14ac:dyDescent="0.25">
      <c r="A114" t="s">
        <v>42</v>
      </c>
      <c r="B114">
        <v>20</v>
      </c>
      <c r="C114">
        <v>25</v>
      </c>
      <c r="D114">
        <v>570</v>
      </c>
      <c r="E114">
        <v>575</v>
      </c>
      <c r="F114">
        <v>7867</v>
      </c>
      <c r="G114">
        <v>7930</v>
      </c>
      <c r="H114">
        <v>2.5</v>
      </c>
      <c r="I114" s="4">
        <f t="shared" si="31"/>
        <v>49</v>
      </c>
      <c r="J114" s="1">
        <v>6</v>
      </c>
      <c r="K114" s="3">
        <v>0</v>
      </c>
      <c r="L114" s="2">
        <v>0</v>
      </c>
      <c r="M114" s="1">
        <v>3</v>
      </c>
      <c r="N114" s="3">
        <v>0</v>
      </c>
      <c r="O114" s="2">
        <v>1</v>
      </c>
      <c r="P114" s="1">
        <v>3</v>
      </c>
      <c r="Q114" s="3">
        <v>2</v>
      </c>
      <c r="R114" s="2">
        <v>0</v>
      </c>
      <c r="S114" s="1">
        <v>10</v>
      </c>
      <c r="T114" s="3">
        <v>6</v>
      </c>
      <c r="U114" s="2">
        <v>5</v>
      </c>
      <c r="V114" s="1">
        <v>0</v>
      </c>
      <c r="W114" s="3">
        <v>0</v>
      </c>
      <c r="X114" s="2">
        <v>0</v>
      </c>
      <c r="Y114" s="1">
        <v>2</v>
      </c>
      <c r="Z114" s="3">
        <v>0</v>
      </c>
      <c r="AA114" s="2">
        <v>0</v>
      </c>
      <c r="AB114" s="1">
        <v>3</v>
      </c>
      <c r="AC114" s="3">
        <v>1</v>
      </c>
      <c r="AD114" s="2">
        <v>7</v>
      </c>
      <c r="AE114">
        <f t="shared" si="25"/>
        <v>27</v>
      </c>
      <c r="AF114">
        <f t="shared" si="29"/>
        <v>9</v>
      </c>
      <c r="AG114">
        <f t="shared" si="30"/>
        <v>13</v>
      </c>
      <c r="AH114">
        <f t="shared" si="26"/>
        <v>26</v>
      </c>
      <c r="AI114">
        <f t="shared" si="27"/>
        <v>13</v>
      </c>
      <c r="AJ114">
        <f t="shared" si="28"/>
        <v>10</v>
      </c>
      <c r="AK114">
        <f t="shared" si="22"/>
        <v>55.102040816326522</v>
      </c>
      <c r="AL114">
        <f t="shared" si="23"/>
        <v>18.367346938775512</v>
      </c>
      <c r="AM114">
        <f t="shared" si="24"/>
        <v>26.530612244897959</v>
      </c>
    </row>
    <row r="115" spans="1:95" x14ac:dyDescent="0.25">
      <c r="A115" t="s">
        <v>42</v>
      </c>
      <c r="B115">
        <v>25</v>
      </c>
      <c r="C115">
        <v>30</v>
      </c>
      <c r="D115">
        <v>575</v>
      </c>
      <c r="E115">
        <v>580</v>
      </c>
      <c r="F115">
        <v>7930</v>
      </c>
      <c r="G115">
        <v>7992</v>
      </c>
      <c r="H115">
        <v>2.5</v>
      </c>
      <c r="I115" s="4">
        <f t="shared" si="31"/>
        <v>21</v>
      </c>
      <c r="J115" s="1">
        <v>0</v>
      </c>
      <c r="K115" s="3">
        <v>0</v>
      </c>
      <c r="L115" s="2">
        <v>0</v>
      </c>
      <c r="M115" s="1">
        <v>0</v>
      </c>
      <c r="N115" s="3">
        <v>0</v>
      </c>
      <c r="O115" s="2">
        <v>1</v>
      </c>
      <c r="P115" s="1">
        <v>0</v>
      </c>
      <c r="Q115" s="3">
        <v>0</v>
      </c>
      <c r="R115" s="2">
        <v>0</v>
      </c>
      <c r="S115" s="1">
        <v>2</v>
      </c>
      <c r="T115" s="3">
        <v>3</v>
      </c>
      <c r="U115" s="2">
        <v>1</v>
      </c>
      <c r="V115" s="1">
        <v>0</v>
      </c>
      <c r="W115" s="3">
        <v>0</v>
      </c>
      <c r="X115" s="2">
        <v>1</v>
      </c>
      <c r="Y115" s="1">
        <v>0</v>
      </c>
      <c r="Z115" s="3">
        <v>0</v>
      </c>
      <c r="AA115" s="2">
        <v>0</v>
      </c>
      <c r="AB115" s="1">
        <v>2</v>
      </c>
      <c r="AC115" s="3">
        <v>4</v>
      </c>
      <c r="AD115" s="2">
        <v>7</v>
      </c>
      <c r="AE115">
        <f t="shared" si="25"/>
        <v>4</v>
      </c>
      <c r="AF115">
        <f t="shared" si="29"/>
        <v>7</v>
      </c>
      <c r="AG115">
        <f t="shared" si="30"/>
        <v>10</v>
      </c>
      <c r="AH115">
        <f t="shared" si="26"/>
        <v>7</v>
      </c>
      <c r="AI115">
        <f t="shared" si="27"/>
        <v>13</v>
      </c>
      <c r="AJ115">
        <f t="shared" si="28"/>
        <v>1</v>
      </c>
      <c r="AK115">
        <f t="shared" si="22"/>
        <v>19.047619047619047</v>
      </c>
      <c r="AL115">
        <f t="shared" si="23"/>
        <v>33.333333333333329</v>
      </c>
      <c r="AM115">
        <f t="shared" si="24"/>
        <v>47.619047619047613</v>
      </c>
    </row>
    <row r="116" spans="1:95" s="5" customFormat="1" x14ac:dyDescent="0.25">
      <c r="A116" t="s">
        <v>42</v>
      </c>
      <c r="B116">
        <v>30</v>
      </c>
      <c r="C116">
        <v>35</v>
      </c>
      <c r="D116">
        <v>580</v>
      </c>
      <c r="E116">
        <v>585</v>
      </c>
      <c r="F116">
        <v>7992</v>
      </c>
      <c r="G116">
        <v>8081</v>
      </c>
      <c r="H116">
        <v>2.5</v>
      </c>
      <c r="I116" s="4">
        <f t="shared" si="31"/>
        <v>32</v>
      </c>
      <c r="J116" s="1">
        <v>2</v>
      </c>
      <c r="K116" s="3">
        <v>0</v>
      </c>
      <c r="L116" s="2">
        <v>0</v>
      </c>
      <c r="M116" s="1">
        <v>1</v>
      </c>
      <c r="N116" s="3">
        <v>2</v>
      </c>
      <c r="O116" s="2">
        <v>0</v>
      </c>
      <c r="P116" s="1">
        <v>1</v>
      </c>
      <c r="Q116" s="3">
        <v>0</v>
      </c>
      <c r="R116" s="2">
        <v>0</v>
      </c>
      <c r="S116" s="1">
        <v>5</v>
      </c>
      <c r="T116" s="3">
        <v>4</v>
      </c>
      <c r="U116" s="2">
        <v>3</v>
      </c>
      <c r="V116" s="1">
        <v>0</v>
      </c>
      <c r="W116" s="3">
        <v>2</v>
      </c>
      <c r="X116" s="2">
        <v>1</v>
      </c>
      <c r="Y116" s="1">
        <v>0</v>
      </c>
      <c r="Z116" s="3">
        <v>0</v>
      </c>
      <c r="AA116" s="2">
        <v>2</v>
      </c>
      <c r="AB116" s="1">
        <v>3</v>
      </c>
      <c r="AC116" s="3">
        <v>1</v>
      </c>
      <c r="AD116" s="2">
        <v>5</v>
      </c>
      <c r="AE116">
        <f t="shared" si="25"/>
        <v>12</v>
      </c>
      <c r="AF116">
        <f t="shared" si="29"/>
        <v>9</v>
      </c>
      <c r="AG116">
        <f t="shared" si="30"/>
        <v>11</v>
      </c>
      <c r="AH116">
        <f t="shared" si="26"/>
        <v>16</v>
      </c>
      <c r="AI116">
        <f t="shared" si="27"/>
        <v>11</v>
      </c>
      <c r="AJ116">
        <f t="shared" si="28"/>
        <v>5</v>
      </c>
      <c r="AK116">
        <f t="shared" si="22"/>
        <v>37.5</v>
      </c>
      <c r="AL116">
        <f t="shared" si="23"/>
        <v>28.125</v>
      </c>
      <c r="AM116">
        <f t="shared" si="24"/>
        <v>34.375</v>
      </c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</row>
    <row r="117" spans="1:95" x14ac:dyDescent="0.25">
      <c r="A117" t="s">
        <v>42</v>
      </c>
      <c r="B117">
        <v>35</v>
      </c>
      <c r="C117">
        <v>40</v>
      </c>
      <c r="D117">
        <v>585</v>
      </c>
      <c r="E117">
        <v>590</v>
      </c>
      <c r="F117">
        <v>8081</v>
      </c>
      <c r="G117">
        <v>8175</v>
      </c>
      <c r="H117">
        <v>2.5</v>
      </c>
      <c r="I117" s="4">
        <f t="shared" si="31"/>
        <v>42</v>
      </c>
      <c r="J117" s="1">
        <v>4</v>
      </c>
      <c r="K117" s="3">
        <v>0</v>
      </c>
      <c r="L117" s="2">
        <v>0</v>
      </c>
      <c r="M117" s="1">
        <v>3</v>
      </c>
      <c r="N117" s="3">
        <v>0</v>
      </c>
      <c r="O117" s="2">
        <v>0</v>
      </c>
      <c r="P117" s="1">
        <v>0</v>
      </c>
      <c r="Q117" s="3">
        <v>0</v>
      </c>
      <c r="R117" s="2">
        <v>0</v>
      </c>
      <c r="S117" s="1">
        <v>9</v>
      </c>
      <c r="T117" s="3">
        <v>8</v>
      </c>
      <c r="U117" s="2">
        <v>6</v>
      </c>
      <c r="V117" s="1">
        <v>0</v>
      </c>
      <c r="W117" s="3">
        <v>0</v>
      </c>
      <c r="X117" s="2">
        <v>1</v>
      </c>
      <c r="Y117" s="1">
        <v>1</v>
      </c>
      <c r="Z117" s="3">
        <v>0</v>
      </c>
      <c r="AA117" s="2">
        <v>1</v>
      </c>
      <c r="AB117" s="1">
        <v>2</v>
      </c>
      <c r="AC117" s="3">
        <v>3</v>
      </c>
      <c r="AD117" s="2">
        <v>4</v>
      </c>
      <c r="AE117">
        <f t="shared" si="25"/>
        <v>19</v>
      </c>
      <c r="AF117">
        <f t="shared" si="29"/>
        <v>11</v>
      </c>
      <c r="AG117">
        <f t="shared" si="30"/>
        <v>12</v>
      </c>
      <c r="AH117">
        <f t="shared" si="26"/>
        <v>24</v>
      </c>
      <c r="AI117">
        <f t="shared" si="27"/>
        <v>11</v>
      </c>
      <c r="AJ117">
        <f t="shared" si="28"/>
        <v>7</v>
      </c>
      <c r="AK117">
        <f t="shared" si="22"/>
        <v>45.238095238095241</v>
      </c>
      <c r="AL117">
        <f t="shared" si="23"/>
        <v>26.190476190476193</v>
      </c>
      <c r="AM117">
        <f t="shared" si="24"/>
        <v>28.571428571428569</v>
      </c>
    </row>
    <row r="118" spans="1:95" x14ac:dyDescent="0.25">
      <c r="A118" t="s">
        <v>42</v>
      </c>
      <c r="B118">
        <v>40</v>
      </c>
      <c r="C118">
        <v>45</v>
      </c>
      <c r="D118">
        <v>590</v>
      </c>
      <c r="E118">
        <v>595</v>
      </c>
      <c r="F118">
        <v>8175</v>
      </c>
      <c r="G118">
        <v>8252</v>
      </c>
      <c r="H118">
        <v>2.5</v>
      </c>
      <c r="I118" s="4">
        <f t="shared" si="31"/>
        <v>21</v>
      </c>
      <c r="J118" s="1">
        <v>1</v>
      </c>
      <c r="K118" s="3">
        <v>2</v>
      </c>
      <c r="L118" s="2">
        <v>0</v>
      </c>
      <c r="M118" s="1">
        <v>1</v>
      </c>
      <c r="N118" s="3">
        <v>3</v>
      </c>
      <c r="O118" s="2">
        <v>0</v>
      </c>
      <c r="P118" s="1">
        <v>0</v>
      </c>
      <c r="Q118" s="3">
        <v>1</v>
      </c>
      <c r="R118" s="2">
        <v>0</v>
      </c>
      <c r="S118" s="1">
        <v>3</v>
      </c>
      <c r="T118" s="3">
        <v>1</v>
      </c>
      <c r="U118" s="2">
        <v>0</v>
      </c>
      <c r="V118" s="1">
        <v>0</v>
      </c>
      <c r="W118" s="3">
        <v>0</v>
      </c>
      <c r="X118" s="2">
        <v>0</v>
      </c>
      <c r="Y118" s="1">
        <v>0</v>
      </c>
      <c r="Z118" s="3">
        <v>0</v>
      </c>
      <c r="AA118" s="2">
        <v>0</v>
      </c>
      <c r="AB118" s="1">
        <v>3</v>
      </c>
      <c r="AC118" s="3">
        <v>3</v>
      </c>
      <c r="AD118" s="2">
        <v>3</v>
      </c>
      <c r="AE118">
        <f t="shared" si="25"/>
        <v>8</v>
      </c>
      <c r="AF118">
        <f t="shared" si="29"/>
        <v>10</v>
      </c>
      <c r="AG118">
        <f t="shared" si="30"/>
        <v>3</v>
      </c>
      <c r="AH118">
        <f t="shared" si="26"/>
        <v>5</v>
      </c>
      <c r="AI118">
        <f t="shared" si="27"/>
        <v>9</v>
      </c>
      <c r="AJ118">
        <f t="shared" si="28"/>
        <v>7</v>
      </c>
      <c r="AK118">
        <f t="shared" si="22"/>
        <v>38.095238095238095</v>
      </c>
      <c r="AL118">
        <f t="shared" si="23"/>
        <v>47.619047619047613</v>
      </c>
      <c r="AM118">
        <f t="shared" si="24"/>
        <v>14.285714285714285</v>
      </c>
    </row>
    <row r="119" spans="1:95" x14ac:dyDescent="0.25">
      <c r="A119" t="s">
        <v>42</v>
      </c>
      <c r="B119">
        <v>45</v>
      </c>
      <c r="C119">
        <v>50</v>
      </c>
      <c r="D119">
        <v>595</v>
      </c>
      <c r="E119">
        <v>600</v>
      </c>
      <c r="F119">
        <v>8252</v>
      </c>
      <c r="G119">
        <v>8329</v>
      </c>
      <c r="H119">
        <v>2.5</v>
      </c>
      <c r="I119" s="4">
        <f t="shared" si="31"/>
        <v>55</v>
      </c>
      <c r="J119" s="1">
        <v>4</v>
      </c>
      <c r="K119" s="3">
        <v>1</v>
      </c>
      <c r="L119" s="2">
        <v>2</v>
      </c>
      <c r="M119" s="1">
        <v>7</v>
      </c>
      <c r="N119" s="3">
        <v>1</v>
      </c>
      <c r="O119" s="2">
        <v>2</v>
      </c>
      <c r="P119" s="1">
        <v>1</v>
      </c>
      <c r="Q119" s="3">
        <v>0</v>
      </c>
      <c r="R119" s="2">
        <v>2</v>
      </c>
      <c r="S119" s="1">
        <v>4</v>
      </c>
      <c r="T119" s="3">
        <v>6</v>
      </c>
      <c r="U119" s="2">
        <v>1</v>
      </c>
      <c r="V119" s="1">
        <v>1</v>
      </c>
      <c r="W119" s="3">
        <v>0</v>
      </c>
      <c r="X119" s="2">
        <v>1</v>
      </c>
      <c r="Y119" s="1">
        <v>1</v>
      </c>
      <c r="Z119" s="3">
        <v>1</v>
      </c>
      <c r="AA119" s="2">
        <v>1</v>
      </c>
      <c r="AB119" s="1">
        <v>10</v>
      </c>
      <c r="AC119" s="3">
        <v>3</v>
      </c>
      <c r="AD119" s="2">
        <v>6</v>
      </c>
      <c r="AE119">
        <f t="shared" si="25"/>
        <v>28</v>
      </c>
      <c r="AF119">
        <f t="shared" si="29"/>
        <v>12</v>
      </c>
      <c r="AG119">
        <f t="shared" si="30"/>
        <v>15</v>
      </c>
      <c r="AH119">
        <f t="shared" si="26"/>
        <v>16</v>
      </c>
      <c r="AI119">
        <f t="shared" si="27"/>
        <v>22</v>
      </c>
      <c r="AJ119">
        <f t="shared" si="28"/>
        <v>17</v>
      </c>
      <c r="AK119">
        <f t="shared" si="22"/>
        <v>50.909090909090907</v>
      </c>
      <c r="AL119">
        <f t="shared" si="23"/>
        <v>21.818181818181817</v>
      </c>
      <c r="AM119">
        <f t="shared" si="24"/>
        <v>27.27272727272727</v>
      </c>
    </row>
    <row r="120" spans="1:95" x14ac:dyDescent="0.25">
      <c r="A120" t="s">
        <v>42</v>
      </c>
      <c r="B120">
        <v>50</v>
      </c>
      <c r="C120">
        <v>55</v>
      </c>
      <c r="D120">
        <v>600</v>
      </c>
      <c r="E120">
        <v>605</v>
      </c>
      <c r="F120">
        <v>8329</v>
      </c>
      <c r="G120">
        <v>8429</v>
      </c>
      <c r="H120">
        <v>2.5</v>
      </c>
      <c r="I120" s="4">
        <f t="shared" si="31"/>
        <v>40</v>
      </c>
      <c r="J120" s="1">
        <v>5</v>
      </c>
      <c r="K120" s="3">
        <v>0</v>
      </c>
      <c r="L120" s="2">
        <v>0</v>
      </c>
      <c r="M120" s="1">
        <v>5</v>
      </c>
      <c r="N120" s="3">
        <v>0</v>
      </c>
      <c r="O120" s="2">
        <v>1</v>
      </c>
      <c r="P120" s="1">
        <v>2</v>
      </c>
      <c r="Q120" s="3">
        <v>1</v>
      </c>
      <c r="R120" s="2">
        <v>1</v>
      </c>
      <c r="S120" s="1">
        <v>5</v>
      </c>
      <c r="T120" s="3">
        <v>2</v>
      </c>
      <c r="U120" s="2">
        <v>2</v>
      </c>
      <c r="V120" s="1">
        <v>0</v>
      </c>
      <c r="W120" s="3">
        <v>0</v>
      </c>
      <c r="X120" s="2">
        <v>0</v>
      </c>
      <c r="Y120" s="1">
        <v>0</v>
      </c>
      <c r="Z120" s="3">
        <v>0</v>
      </c>
      <c r="AA120" s="2">
        <v>0</v>
      </c>
      <c r="AB120" s="1">
        <v>4</v>
      </c>
      <c r="AC120" s="3">
        <v>3</v>
      </c>
      <c r="AD120" s="2">
        <v>9</v>
      </c>
      <c r="AE120">
        <f t="shared" si="25"/>
        <v>21</v>
      </c>
      <c r="AF120">
        <f t="shared" si="29"/>
        <v>6</v>
      </c>
      <c r="AG120">
        <f t="shared" si="30"/>
        <v>13</v>
      </c>
      <c r="AH120">
        <f t="shared" si="26"/>
        <v>13</v>
      </c>
      <c r="AI120">
        <f t="shared" si="27"/>
        <v>16</v>
      </c>
      <c r="AJ120">
        <f t="shared" si="28"/>
        <v>11</v>
      </c>
      <c r="AK120">
        <f t="shared" si="22"/>
        <v>52.5</v>
      </c>
      <c r="AL120">
        <f t="shared" si="23"/>
        <v>15</v>
      </c>
      <c r="AM120">
        <f t="shared" si="24"/>
        <v>32.5</v>
      </c>
    </row>
    <row r="121" spans="1:95" x14ac:dyDescent="0.25">
      <c r="A121" t="s">
        <v>42</v>
      </c>
      <c r="B121">
        <v>55</v>
      </c>
      <c r="C121">
        <v>60</v>
      </c>
      <c r="D121">
        <v>605</v>
      </c>
      <c r="E121">
        <v>610</v>
      </c>
      <c r="F121">
        <v>8429</v>
      </c>
      <c r="G121">
        <v>8533</v>
      </c>
      <c r="H121">
        <v>2.5</v>
      </c>
      <c r="I121" s="4">
        <f t="shared" si="31"/>
        <v>7</v>
      </c>
      <c r="J121" s="1">
        <v>0</v>
      </c>
      <c r="K121" s="3">
        <v>0</v>
      </c>
      <c r="L121" s="2">
        <v>0</v>
      </c>
      <c r="M121" s="1">
        <v>0</v>
      </c>
      <c r="N121" s="3">
        <v>1</v>
      </c>
      <c r="O121" s="2">
        <v>0</v>
      </c>
      <c r="P121" s="1">
        <v>0</v>
      </c>
      <c r="Q121" s="3">
        <v>0</v>
      </c>
      <c r="R121" s="2">
        <v>0</v>
      </c>
      <c r="S121" s="1">
        <v>0</v>
      </c>
      <c r="T121" s="3">
        <v>1</v>
      </c>
      <c r="U121" s="2">
        <v>0</v>
      </c>
      <c r="V121" s="1">
        <v>0</v>
      </c>
      <c r="W121" s="3">
        <v>1</v>
      </c>
      <c r="X121" s="2">
        <v>0</v>
      </c>
      <c r="Y121" s="1">
        <v>0</v>
      </c>
      <c r="Z121" s="3">
        <v>1</v>
      </c>
      <c r="AA121" s="2">
        <v>0</v>
      </c>
      <c r="AB121" s="1">
        <v>1</v>
      </c>
      <c r="AC121" s="3">
        <v>0</v>
      </c>
      <c r="AD121" s="2">
        <v>2</v>
      </c>
      <c r="AE121">
        <f t="shared" si="25"/>
        <v>1</v>
      </c>
      <c r="AF121">
        <f t="shared" si="29"/>
        <v>4</v>
      </c>
      <c r="AG121">
        <f t="shared" si="30"/>
        <v>2</v>
      </c>
      <c r="AH121">
        <f t="shared" si="26"/>
        <v>2</v>
      </c>
      <c r="AI121">
        <f t="shared" si="27"/>
        <v>4</v>
      </c>
      <c r="AJ121">
        <f t="shared" si="28"/>
        <v>1</v>
      </c>
      <c r="AK121">
        <f t="shared" si="22"/>
        <v>14.285714285714285</v>
      </c>
      <c r="AL121">
        <f t="shared" si="23"/>
        <v>57.142857142857139</v>
      </c>
      <c r="AM121">
        <f t="shared" si="24"/>
        <v>28.571428571428569</v>
      </c>
    </row>
    <row r="122" spans="1:95" x14ac:dyDescent="0.25">
      <c r="A122" t="s">
        <v>42</v>
      </c>
      <c r="B122">
        <v>60</v>
      </c>
      <c r="C122">
        <v>65</v>
      </c>
      <c r="D122">
        <v>610</v>
      </c>
      <c r="E122">
        <v>615</v>
      </c>
      <c r="F122">
        <v>8533</v>
      </c>
      <c r="G122">
        <v>8636</v>
      </c>
      <c r="H122">
        <v>2.5</v>
      </c>
      <c r="I122" s="4">
        <f t="shared" si="31"/>
        <v>7</v>
      </c>
      <c r="J122" s="1">
        <v>1</v>
      </c>
      <c r="K122" s="3">
        <v>0</v>
      </c>
      <c r="L122" s="2">
        <v>0</v>
      </c>
      <c r="M122" s="1">
        <v>0</v>
      </c>
      <c r="N122" s="3">
        <v>0</v>
      </c>
      <c r="O122" s="2">
        <v>0</v>
      </c>
      <c r="P122" s="1">
        <v>1</v>
      </c>
      <c r="Q122" s="3">
        <v>0</v>
      </c>
      <c r="R122" s="2">
        <v>0</v>
      </c>
      <c r="S122" s="1">
        <v>1</v>
      </c>
      <c r="T122" s="3">
        <v>0</v>
      </c>
      <c r="U122" s="2">
        <v>0</v>
      </c>
      <c r="V122" s="1">
        <v>0</v>
      </c>
      <c r="W122" s="3">
        <v>0</v>
      </c>
      <c r="X122" s="2">
        <v>0</v>
      </c>
      <c r="Y122" s="1">
        <v>0</v>
      </c>
      <c r="Z122" s="3">
        <v>0</v>
      </c>
      <c r="AA122" s="2">
        <v>0</v>
      </c>
      <c r="AB122" s="1">
        <v>2</v>
      </c>
      <c r="AC122" s="3">
        <v>1</v>
      </c>
      <c r="AD122" s="2">
        <v>1</v>
      </c>
      <c r="AE122">
        <f t="shared" si="25"/>
        <v>5</v>
      </c>
      <c r="AF122">
        <f t="shared" si="29"/>
        <v>1</v>
      </c>
      <c r="AG122">
        <f t="shared" si="30"/>
        <v>1</v>
      </c>
      <c r="AH122">
        <f t="shared" si="26"/>
        <v>2</v>
      </c>
      <c r="AI122">
        <f t="shared" si="27"/>
        <v>4</v>
      </c>
      <c r="AJ122">
        <f t="shared" si="28"/>
        <v>1</v>
      </c>
      <c r="AK122">
        <f t="shared" si="22"/>
        <v>71.428571428571431</v>
      </c>
      <c r="AL122">
        <f t="shared" si="23"/>
        <v>14.285714285714285</v>
      </c>
      <c r="AM122">
        <f t="shared" si="24"/>
        <v>14.285714285714285</v>
      </c>
    </row>
    <row r="123" spans="1:95" x14ac:dyDescent="0.25">
      <c r="A123" t="s">
        <v>42</v>
      </c>
      <c r="B123">
        <v>65</v>
      </c>
      <c r="C123">
        <v>70</v>
      </c>
      <c r="D123">
        <v>615</v>
      </c>
      <c r="E123">
        <v>620</v>
      </c>
      <c r="F123">
        <v>8636</v>
      </c>
      <c r="G123">
        <v>8731</v>
      </c>
      <c r="H123">
        <v>2.5</v>
      </c>
      <c r="I123" s="4">
        <f t="shared" si="31"/>
        <v>27</v>
      </c>
      <c r="J123" s="1">
        <v>1</v>
      </c>
      <c r="K123" s="3">
        <v>1</v>
      </c>
      <c r="L123" s="2">
        <v>0</v>
      </c>
      <c r="M123" s="1">
        <v>2</v>
      </c>
      <c r="N123" s="3">
        <v>0</v>
      </c>
      <c r="O123" s="2">
        <v>0</v>
      </c>
      <c r="P123" s="1">
        <v>0</v>
      </c>
      <c r="Q123" s="3">
        <v>0</v>
      </c>
      <c r="R123" s="2">
        <v>0</v>
      </c>
      <c r="S123" s="1">
        <v>3</v>
      </c>
      <c r="T123" s="3">
        <v>5</v>
      </c>
      <c r="U123" s="2">
        <v>2</v>
      </c>
      <c r="V123" s="1">
        <v>0</v>
      </c>
      <c r="W123" s="3">
        <v>0</v>
      </c>
      <c r="X123" s="2">
        <v>0</v>
      </c>
      <c r="Y123" s="1">
        <v>0</v>
      </c>
      <c r="Z123" s="3">
        <v>1</v>
      </c>
      <c r="AA123" s="2">
        <v>0</v>
      </c>
      <c r="AB123" s="1">
        <v>4</v>
      </c>
      <c r="AC123" s="3">
        <v>4</v>
      </c>
      <c r="AD123" s="2">
        <v>4</v>
      </c>
      <c r="AE123">
        <f t="shared" si="25"/>
        <v>10</v>
      </c>
      <c r="AF123">
        <f t="shared" si="29"/>
        <v>11</v>
      </c>
      <c r="AG123">
        <f t="shared" si="30"/>
        <v>6</v>
      </c>
      <c r="AH123">
        <f t="shared" si="26"/>
        <v>10</v>
      </c>
      <c r="AI123">
        <f t="shared" si="27"/>
        <v>13</v>
      </c>
      <c r="AJ123">
        <f t="shared" si="28"/>
        <v>4</v>
      </c>
      <c r="AK123">
        <f t="shared" si="22"/>
        <v>37.037037037037038</v>
      </c>
      <c r="AL123">
        <f t="shared" si="23"/>
        <v>40.74074074074074</v>
      </c>
      <c r="AM123">
        <f t="shared" si="24"/>
        <v>22.222222222222221</v>
      </c>
    </row>
    <row r="124" spans="1:95" x14ac:dyDescent="0.25">
      <c r="A124" t="s">
        <v>42</v>
      </c>
      <c r="B124">
        <v>70</v>
      </c>
      <c r="C124">
        <v>75</v>
      </c>
      <c r="D124">
        <v>620</v>
      </c>
      <c r="E124">
        <v>625</v>
      </c>
      <c r="F124">
        <v>8731</v>
      </c>
      <c r="G124">
        <v>8823</v>
      </c>
      <c r="H124">
        <v>2.5</v>
      </c>
      <c r="I124" s="4">
        <f t="shared" si="31"/>
        <v>25</v>
      </c>
      <c r="J124" s="1">
        <v>1</v>
      </c>
      <c r="K124" s="3">
        <v>1</v>
      </c>
      <c r="L124" s="2">
        <v>0</v>
      </c>
      <c r="M124" s="1">
        <v>0</v>
      </c>
      <c r="N124" s="3">
        <v>2</v>
      </c>
      <c r="O124" s="2">
        <v>0</v>
      </c>
      <c r="P124" s="1">
        <v>0</v>
      </c>
      <c r="Q124" s="3">
        <v>2</v>
      </c>
      <c r="R124" s="2">
        <v>3</v>
      </c>
      <c r="S124" s="1">
        <v>1</v>
      </c>
      <c r="T124" s="3">
        <v>2</v>
      </c>
      <c r="U124" s="2">
        <v>2</v>
      </c>
      <c r="V124" s="1">
        <v>0</v>
      </c>
      <c r="W124" s="3">
        <v>0</v>
      </c>
      <c r="X124" s="2">
        <v>0</v>
      </c>
      <c r="Y124" s="1">
        <v>0</v>
      </c>
      <c r="Z124" s="3">
        <v>0</v>
      </c>
      <c r="AA124" s="2">
        <v>2</v>
      </c>
      <c r="AB124" s="1">
        <v>4</v>
      </c>
      <c r="AC124" s="3">
        <v>0</v>
      </c>
      <c r="AD124" s="2">
        <v>5</v>
      </c>
      <c r="AE124">
        <f t="shared" si="25"/>
        <v>6</v>
      </c>
      <c r="AF124">
        <f t="shared" si="29"/>
        <v>7</v>
      </c>
      <c r="AG124">
        <f t="shared" si="30"/>
        <v>12</v>
      </c>
      <c r="AH124">
        <f t="shared" si="26"/>
        <v>10</v>
      </c>
      <c r="AI124">
        <f t="shared" si="27"/>
        <v>11</v>
      </c>
      <c r="AJ124">
        <f t="shared" si="28"/>
        <v>4</v>
      </c>
      <c r="AK124">
        <f t="shared" si="22"/>
        <v>24</v>
      </c>
      <c r="AL124">
        <f t="shared" si="23"/>
        <v>28.000000000000004</v>
      </c>
      <c r="AM124">
        <f t="shared" si="24"/>
        <v>48</v>
      </c>
    </row>
    <row r="125" spans="1:95" x14ac:dyDescent="0.25">
      <c r="A125" t="s">
        <v>42</v>
      </c>
      <c r="B125">
        <v>75</v>
      </c>
      <c r="C125">
        <v>80</v>
      </c>
      <c r="D125">
        <v>625</v>
      </c>
      <c r="E125">
        <v>630</v>
      </c>
      <c r="F125">
        <v>8823</v>
      </c>
      <c r="G125">
        <v>8920</v>
      </c>
      <c r="H125">
        <v>2.5</v>
      </c>
      <c r="I125" s="4">
        <f t="shared" si="31"/>
        <v>10</v>
      </c>
      <c r="J125" s="1">
        <v>1</v>
      </c>
      <c r="K125" s="3">
        <v>1</v>
      </c>
      <c r="L125" s="2">
        <v>0</v>
      </c>
      <c r="M125" s="1">
        <v>0</v>
      </c>
      <c r="N125" s="3">
        <v>1</v>
      </c>
      <c r="O125" s="2">
        <v>0</v>
      </c>
      <c r="P125" s="1">
        <v>0</v>
      </c>
      <c r="Q125" s="3">
        <v>3</v>
      </c>
      <c r="R125" s="2">
        <v>0</v>
      </c>
      <c r="S125" s="1">
        <v>0</v>
      </c>
      <c r="T125" s="3">
        <v>0</v>
      </c>
      <c r="U125" s="2">
        <v>1</v>
      </c>
      <c r="V125" s="1">
        <v>0</v>
      </c>
      <c r="W125" s="3">
        <v>0</v>
      </c>
      <c r="X125" s="2">
        <v>0</v>
      </c>
      <c r="Y125" s="1">
        <v>0</v>
      </c>
      <c r="Z125" s="3">
        <v>1</v>
      </c>
      <c r="AA125" s="2">
        <v>0</v>
      </c>
      <c r="AB125" s="1">
        <v>0</v>
      </c>
      <c r="AC125" s="3">
        <v>2</v>
      </c>
      <c r="AD125" s="2">
        <v>0</v>
      </c>
      <c r="AE125">
        <f t="shared" si="25"/>
        <v>1</v>
      </c>
      <c r="AF125">
        <f t="shared" si="29"/>
        <v>8</v>
      </c>
      <c r="AG125">
        <f t="shared" si="30"/>
        <v>1</v>
      </c>
      <c r="AH125">
        <f t="shared" si="26"/>
        <v>4</v>
      </c>
      <c r="AI125">
        <f t="shared" si="27"/>
        <v>3</v>
      </c>
      <c r="AJ125">
        <f t="shared" si="28"/>
        <v>3</v>
      </c>
      <c r="AK125">
        <f t="shared" si="22"/>
        <v>10</v>
      </c>
      <c r="AL125">
        <f t="shared" si="23"/>
        <v>80</v>
      </c>
      <c r="AM125">
        <f t="shared" si="24"/>
        <v>10</v>
      </c>
    </row>
    <row r="126" spans="1:95" x14ac:dyDescent="0.25">
      <c r="A126" t="s">
        <v>42</v>
      </c>
      <c r="B126">
        <v>80</v>
      </c>
      <c r="C126">
        <v>85</v>
      </c>
      <c r="D126">
        <v>630</v>
      </c>
      <c r="E126">
        <v>635</v>
      </c>
      <c r="F126">
        <v>8920</v>
      </c>
      <c r="G126">
        <v>9012</v>
      </c>
      <c r="H126">
        <v>2.5</v>
      </c>
      <c r="I126" s="4">
        <f t="shared" si="31"/>
        <v>12</v>
      </c>
      <c r="J126" s="1">
        <v>2</v>
      </c>
      <c r="K126" s="3">
        <v>0</v>
      </c>
      <c r="L126" s="2">
        <v>0</v>
      </c>
      <c r="M126" s="1">
        <v>0</v>
      </c>
      <c r="N126" s="3">
        <v>0</v>
      </c>
      <c r="O126" s="2">
        <v>0</v>
      </c>
      <c r="P126" s="1">
        <v>2</v>
      </c>
      <c r="Q126" s="3">
        <v>0</v>
      </c>
      <c r="R126" s="2">
        <v>1</v>
      </c>
      <c r="S126" s="1">
        <v>1</v>
      </c>
      <c r="T126" s="3">
        <v>1</v>
      </c>
      <c r="U126" s="2">
        <v>2</v>
      </c>
      <c r="V126" s="1">
        <v>0</v>
      </c>
      <c r="W126" s="3">
        <v>0</v>
      </c>
      <c r="X126" s="2">
        <v>0</v>
      </c>
      <c r="Y126" s="1">
        <v>0</v>
      </c>
      <c r="Z126" s="3">
        <v>0</v>
      </c>
      <c r="AA126" s="2">
        <v>1</v>
      </c>
      <c r="AB126" s="1">
        <v>0</v>
      </c>
      <c r="AC126" s="3">
        <v>0</v>
      </c>
      <c r="AD126" s="2">
        <v>2</v>
      </c>
      <c r="AE126">
        <f t="shared" si="25"/>
        <v>5</v>
      </c>
      <c r="AF126">
        <f t="shared" si="29"/>
        <v>1</v>
      </c>
      <c r="AG126">
        <f t="shared" si="30"/>
        <v>6</v>
      </c>
      <c r="AH126">
        <f t="shared" si="26"/>
        <v>7</v>
      </c>
      <c r="AI126">
        <f t="shared" si="27"/>
        <v>3</v>
      </c>
      <c r="AJ126">
        <f t="shared" si="28"/>
        <v>2</v>
      </c>
      <c r="AK126">
        <f t="shared" si="22"/>
        <v>41.666666666666671</v>
      </c>
      <c r="AL126">
        <f t="shared" si="23"/>
        <v>8.3333333333333321</v>
      </c>
      <c r="AM126">
        <f t="shared" si="24"/>
        <v>50</v>
      </c>
    </row>
    <row r="127" spans="1:95" x14ac:dyDescent="0.25">
      <c r="A127" t="s">
        <v>42</v>
      </c>
      <c r="B127">
        <v>85</v>
      </c>
      <c r="C127">
        <v>90</v>
      </c>
      <c r="D127">
        <v>635</v>
      </c>
      <c r="E127">
        <v>640</v>
      </c>
      <c r="F127">
        <v>9012</v>
      </c>
      <c r="G127">
        <v>9108</v>
      </c>
      <c r="H127">
        <v>2.5</v>
      </c>
      <c r="I127" s="4">
        <f t="shared" si="31"/>
        <v>5</v>
      </c>
      <c r="J127" s="1">
        <v>0</v>
      </c>
      <c r="K127" s="3">
        <v>0</v>
      </c>
      <c r="L127" s="2">
        <v>0</v>
      </c>
      <c r="M127" s="1">
        <v>1</v>
      </c>
      <c r="N127" s="3">
        <v>0</v>
      </c>
      <c r="O127" s="2">
        <v>0</v>
      </c>
      <c r="P127" s="1">
        <v>1</v>
      </c>
      <c r="Q127" s="3">
        <v>1</v>
      </c>
      <c r="R127" s="2">
        <v>0</v>
      </c>
      <c r="S127" s="1">
        <v>0</v>
      </c>
      <c r="T127" s="3">
        <v>0</v>
      </c>
      <c r="U127" s="2">
        <v>0</v>
      </c>
      <c r="V127" s="1">
        <v>0</v>
      </c>
      <c r="W127" s="3">
        <v>0</v>
      </c>
      <c r="X127" s="2">
        <v>0</v>
      </c>
      <c r="Y127" s="1">
        <v>0</v>
      </c>
      <c r="Z127" s="3">
        <v>0</v>
      </c>
      <c r="AA127" s="2">
        <v>1</v>
      </c>
      <c r="AB127" s="1">
        <v>0</v>
      </c>
      <c r="AC127" s="3">
        <v>0</v>
      </c>
      <c r="AD127" s="2">
        <v>1</v>
      </c>
      <c r="AE127">
        <f t="shared" si="25"/>
        <v>2</v>
      </c>
      <c r="AF127">
        <f t="shared" si="29"/>
        <v>1</v>
      </c>
      <c r="AG127">
        <f t="shared" si="30"/>
        <v>2</v>
      </c>
      <c r="AH127">
        <f t="shared" si="26"/>
        <v>2</v>
      </c>
      <c r="AI127">
        <f t="shared" si="27"/>
        <v>2</v>
      </c>
      <c r="AJ127">
        <f t="shared" si="28"/>
        <v>1</v>
      </c>
      <c r="AK127">
        <f t="shared" si="22"/>
        <v>40</v>
      </c>
      <c r="AL127">
        <f t="shared" si="23"/>
        <v>20</v>
      </c>
      <c r="AM127">
        <f t="shared" si="24"/>
        <v>40</v>
      </c>
    </row>
    <row r="128" spans="1:95" x14ac:dyDescent="0.25">
      <c r="A128" t="s">
        <v>42</v>
      </c>
      <c r="B128">
        <v>90</v>
      </c>
      <c r="C128">
        <v>95</v>
      </c>
      <c r="D128">
        <v>640</v>
      </c>
      <c r="E128">
        <v>645</v>
      </c>
      <c r="F128">
        <v>9108</v>
      </c>
      <c r="G128">
        <v>9211</v>
      </c>
      <c r="H128">
        <v>2.5</v>
      </c>
      <c r="I128" s="4">
        <f t="shared" si="31"/>
        <v>11</v>
      </c>
      <c r="J128" s="1">
        <v>1</v>
      </c>
      <c r="K128" s="3">
        <v>1</v>
      </c>
      <c r="L128" s="2">
        <v>0</v>
      </c>
      <c r="M128" s="1">
        <v>0</v>
      </c>
      <c r="N128" s="3">
        <v>0</v>
      </c>
      <c r="O128" s="2">
        <v>0</v>
      </c>
      <c r="P128" s="1">
        <v>1</v>
      </c>
      <c r="Q128" s="3">
        <v>1</v>
      </c>
      <c r="R128" s="2">
        <v>1</v>
      </c>
      <c r="S128" s="1">
        <v>0</v>
      </c>
      <c r="T128" s="3">
        <v>0</v>
      </c>
      <c r="U128" s="2">
        <v>0</v>
      </c>
      <c r="V128" s="1">
        <v>0</v>
      </c>
      <c r="W128" s="3">
        <v>0</v>
      </c>
      <c r="X128" s="2">
        <v>0</v>
      </c>
      <c r="Y128" s="1">
        <v>0</v>
      </c>
      <c r="Z128" s="3">
        <v>0</v>
      </c>
      <c r="AA128" s="2">
        <v>2</v>
      </c>
      <c r="AB128" s="1">
        <v>1</v>
      </c>
      <c r="AC128" s="3">
        <v>2</v>
      </c>
      <c r="AD128" s="2">
        <v>1</v>
      </c>
      <c r="AE128">
        <f t="shared" si="25"/>
        <v>3</v>
      </c>
      <c r="AF128">
        <f t="shared" si="29"/>
        <v>4</v>
      </c>
      <c r="AG128">
        <f t="shared" si="30"/>
        <v>4</v>
      </c>
      <c r="AH128">
        <f t="shared" si="26"/>
        <v>3</v>
      </c>
      <c r="AI128">
        <f t="shared" si="27"/>
        <v>6</v>
      </c>
      <c r="AJ128">
        <f t="shared" si="28"/>
        <v>2</v>
      </c>
      <c r="AK128">
        <f t="shared" si="22"/>
        <v>27.27272727272727</v>
      </c>
      <c r="AL128">
        <f t="shared" si="23"/>
        <v>36.363636363636367</v>
      </c>
      <c r="AM128">
        <f t="shared" si="24"/>
        <v>36.363636363636367</v>
      </c>
    </row>
    <row r="129" spans="1:39" x14ac:dyDescent="0.25">
      <c r="A129" t="s">
        <v>42</v>
      </c>
      <c r="B129">
        <v>95</v>
      </c>
      <c r="C129">
        <v>99.5</v>
      </c>
      <c r="D129">
        <v>645</v>
      </c>
      <c r="E129">
        <v>650</v>
      </c>
      <c r="F129">
        <v>9211</v>
      </c>
      <c r="G129">
        <v>9314</v>
      </c>
      <c r="H129">
        <v>2.5</v>
      </c>
      <c r="I129" s="4">
        <f t="shared" si="31"/>
        <v>34</v>
      </c>
      <c r="J129" s="1">
        <v>3</v>
      </c>
      <c r="K129" s="3">
        <v>0</v>
      </c>
      <c r="L129" s="2">
        <v>0</v>
      </c>
      <c r="M129" s="1">
        <v>0</v>
      </c>
      <c r="N129" s="3">
        <v>0</v>
      </c>
      <c r="O129" s="2">
        <v>0</v>
      </c>
      <c r="P129" s="1">
        <v>0</v>
      </c>
      <c r="Q129" s="3">
        <v>6</v>
      </c>
      <c r="R129" s="2">
        <v>1</v>
      </c>
      <c r="S129" s="1">
        <v>8</v>
      </c>
      <c r="T129" s="3">
        <v>1</v>
      </c>
      <c r="U129" s="2">
        <v>2</v>
      </c>
      <c r="V129" s="1">
        <v>0</v>
      </c>
      <c r="W129" s="3">
        <v>0</v>
      </c>
      <c r="X129" s="2">
        <v>1</v>
      </c>
      <c r="Y129" s="1">
        <v>0</v>
      </c>
      <c r="Z129" s="3">
        <v>1</v>
      </c>
      <c r="AA129" s="2">
        <v>1</v>
      </c>
      <c r="AB129" s="1">
        <v>4</v>
      </c>
      <c r="AC129" s="3">
        <v>2</v>
      </c>
      <c r="AD129" s="2">
        <v>4</v>
      </c>
      <c r="AE129">
        <f t="shared" si="25"/>
        <v>15</v>
      </c>
      <c r="AF129">
        <f t="shared" si="29"/>
        <v>10</v>
      </c>
      <c r="AG129">
        <f t="shared" si="30"/>
        <v>9</v>
      </c>
      <c r="AH129">
        <f t="shared" si="26"/>
        <v>19</v>
      </c>
      <c r="AI129">
        <f t="shared" si="27"/>
        <v>12</v>
      </c>
      <c r="AJ129">
        <f t="shared" si="28"/>
        <v>3</v>
      </c>
      <c r="AK129">
        <f t="shared" si="22"/>
        <v>44.117647058823529</v>
      </c>
      <c r="AL129">
        <f t="shared" si="23"/>
        <v>29.411764705882355</v>
      </c>
      <c r="AM129">
        <f t="shared" si="24"/>
        <v>26.47058823529412</v>
      </c>
    </row>
    <row r="130" spans="1:39" s="8" customFormat="1" x14ac:dyDescent="0.25">
      <c r="A130" s="8" t="s">
        <v>43</v>
      </c>
      <c r="B130" s="8">
        <v>0</v>
      </c>
      <c r="C130" s="8">
        <v>5</v>
      </c>
      <c r="D130" s="8">
        <v>650</v>
      </c>
      <c r="E130" s="8">
        <v>655</v>
      </c>
      <c r="F130" s="8">
        <v>9314</v>
      </c>
      <c r="G130" s="8">
        <v>9404</v>
      </c>
      <c r="H130" s="8">
        <v>2.5</v>
      </c>
      <c r="I130" s="8">
        <f t="shared" si="31"/>
        <v>13</v>
      </c>
      <c r="J130" s="9">
        <v>0</v>
      </c>
      <c r="K130" s="10">
        <v>0</v>
      </c>
      <c r="L130" s="11">
        <v>0</v>
      </c>
      <c r="M130" s="9">
        <v>0</v>
      </c>
      <c r="N130" s="10">
        <v>5</v>
      </c>
      <c r="O130" s="11">
        <v>4</v>
      </c>
      <c r="P130" s="9">
        <v>0</v>
      </c>
      <c r="Q130" s="10">
        <v>1</v>
      </c>
      <c r="R130" s="11">
        <v>0</v>
      </c>
      <c r="S130" s="9">
        <v>0</v>
      </c>
      <c r="T130" s="10">
        <v>0</v>
      </c>
      <c r="U130" s="11">
        <v>0</v>
      </c>
      <c r="V130" s="9">
        <v>0</v>
      </c>
      <c r="W130" s="10">
        <v>0</v>
      </c>
      <c r="X130" s="11">
        <v>0</v>
      </c>
      <c r="Y130" s="9">
        <v>0</v>
      </c>
      <c r="Z130" s="10">
        <v>0</v>
      </c>
      <c r="AA130" s="11">
        <v>0</v>
      </c>
      <c r="AB130" s="9">
        <v>1</v>
      </c>
      <c r="AC130" s="10">
        <v>0</v>
      </c>
      <c r="AD130" s="11">
        <v>2</v>
      </c>
      <c r="AE130" s="8">
        <f t="shared" si="25"/>
        <v>1</v>
      </c>
      <c r="AF130" s="8">
        <f t="shared" si="29"/>
        <v>6</v>
      </c>
      <c r="AG130" s="8">
        <f t="shared" si="30"/>
        <v>6</v>
      </c>
      <c r="AH130" s="8">
        <f t="shared" si="26"/>
        <v>1</v>
      </c>
      <c r="AI130" s="8">
        <f t="shared" si="27"/>
        <v>3</v>
      </c>
      <c r="AJ130" s="8">
        <f t="shared" si="28"/>
        <v>9</v>
      </c>
      <c r="AK130">
        <f t="shared" si="22"/>
        <v>7.6923076923076925</v>
      </c>
      <c r="AL130">
        <f t="shared" si="23"/>
        <v>46.153846153846153</v>
      </c>
      <c r="AM130">
        <f t="shared" si="24"/>
        <v>46.153846153846153</v>
      </c>
    </row>
    <row r="131" spans="1:39" x14ac:dyDescent="0.25">
      <c r="A131" t="s">
        <v>43</v>
      </c>
      <c r="B131">
        <v>5</v>
      </c>
      <c r="C131">
        <v>10</v>
      </c>
      <c r="D131">
        <v>655</v>
      </c>
      <c r="E131">
        <v>660</v>
      </c>
      <c r="F131">
        <v>9404</v>
      </c>
      <c r="G131">
        <v>9496</v>
      </c>
      <c r="H131">
        <v>2.5</v>
      </c>
      <c r="I131" s="4">
        <f t="shared" si="31"/>
        <v>4</v>
      </c>
      <c r="J131" s="1">
        <v>1</v>
      </c>
      <c r="K131" s="3">
        <v>0</v>
      </c>
      <c r="L131" s="2">
        <v>0</v>
      </c>
      <c r="M131" s="1">
        <v>0</v>
      </c>
      <c r="N131" s="3">
        <v>0</v>
      </c>
      <c r="O131" s="2">
        <v>1</v>
      </c>
      <c r="P131" s="1">
        <v>0</v>
      </c>
      <c r="Q131" s="3">
        <v>0</v>
      </c>
      <c r="R131" s="2">
        <v>0</v>
      </c>
      <c r="S131" s="1">
        <v>0</v>
      </c>
      <c r="T131" s="3">
        <v>0</v>
      </c>
      <c r="U131" s="2">
        <v>0</v>
      </c>
      <c r="V131" s="1">
        <v>0</v>
      </c>
      <c r="W131" s="3">
        <v>0</v>
      </c>
      <c r="X131" s="2">
        <v>0</v>
      </c>
      <c r="Y131" s="1">
        <v>0</v>
      </c>
      <c r="Z131" s="3">
        <v>0</v>
      </c>
      <c r="AA131" s="2">
        <v>0</v>
      </c>
      <c r="AB131" s="1">
        <v>0</v>
      </c>
      <c r="AC131" s="3">
        <v>1</v>
      </c>
      <c r="AD131" s="2">
        <v>1</v>
      </c>
      <c r="AE131">
        <f t="shared" si="25"/>
        <v>1</v>
      </c>
      <c r="AF131">
        <f t="shared" si="29"/>
        <v>1</v>
      </c>
      <c r="AG131">
        <f t="shared" si="30"/>
        <v>2</v>
      </c>
      <c r="AH131">
        <f t="shared" si="26"/>
        <v>0</v>
      </c>
      <c r="AI131">
        <f t="shared" si="27"/>
        <v>2</v>
      </c>
      <c r="AJ131">
        <f t="shared" si="28"/>
        <v>2</v>
      </c>
      <c r="AK131">
        <f t="shared" ref="AK131:AK149" si="32">(AE131/I131)*100</f>
        <v>25</v>
      </c>
      <c r="AL131">
        <f t="shared" ref="AL131:AL149" si="33">(AF131/$I131)*100</f>
        <v>25</v>
      </c>
      <c r="AM131">
        <f t="shared" ref="AM131:AM149" si="34">(AG131/$I131)*100</f>
        <v>50</v>
      </c>
    </row>
    <row r="132" spans="1:39" x14ac:dyDescent="0.25">
      <c r="A132" t="s">
        <v>43</v>
      </c>
      <c r="B132">
        <v>10</v>
      </c>
      <c r="C132">
        <v>15</v>
      </c>
      <c r="D132">
        <v>660</v>
      </c>
      <c r="E132">
        <v>665</v>
      </c>
      <c r="F132">
        <v>9496</v>
      </c>
      <c r="G132">
        <v>9615</v>
      </c>
      <c r="H132">
        <v>2.5</v>
      </c>
      <c r="I132" s="4">
        <f t="shared" si="31"/>
        <v>4</v>
      </c>
      <c r="J132" s="1">
        <v>1</v>
      </c>
      <c r="K132" s="3">
        <v>1</v>
      </c>
      <c r="L132" s="2">
        <v>0</v>
      </c>
      <c r="M132" s="1">
        <v>0</v>
      </c>
      <c r="N132" s="3">
        <v>0</v>
      </c>
      <c r="O132" s="2">
        <v>0</v>
      </c>
      <c r="P132" s="1">
        <v>0</v>
      </c>
      <c r="Q132" s="3">
        <v>0</v>
      </c>
      <c r="R132" s="2">
        <v>0</v>
      </c>
      <c r="S132" s="1">
        <v>0</v>
      </c>
      <c r="T132" s="3">
        <v>0</v>
      </c>
      <c r="U132" s="2">
        <v>1</v>
      </c>
      <c r="V132" s="1">
        <v>0</v>
      </c>
      <c r="W132" s="3">
        <v>0</v>
      </c>
      <c r="X132" s="2">
        <v>0</v>
      </c>
      <c r="Y132" s="1">
        <v>0</v>
      </c>
      <c r="Z132" s="3">
        <v>0</v>
      </c>
      <c r="AA132" s="2">
        <v>1</v>
      </c>
      <c r="AB132" s="1">
        <v>0</v>
      </c>
      <c r="AC132" s="3">
        <v>0</v>
      </c>
      <c r="AD132" s="2">
        <v>0</v>
      </c>
      <c r="AE132">
        <f t="shared" si="25"/>
        <v>1</v>
      </c>
      <c r="AF132">
        <f t="shared" si="29"/>
        <v>1</v>
      </c>
      <c r="AG132">
        <f t="shared" si="30"/>
        <v>2</v>
      </c>
      <c r="AH132">
        <f t="shared" si="26"/>
        <v>1</v>
      </c>
      <c r="AI132">
        <f t="shared" si="27"/>
        <v>1</v>
      </c>
      <c r="AJ132">
        <f t="shared" si="28"/>
        <v>2</v>
      </c>
      <c r="AK132">
        <f t="shared" si="32"/>
        <v>25</v>
      </c>
      <c r="AL132">
        <f t="shared" si="33"/>
        <v>25</v>
      </c>
      <c r="AM132">
        <f t="shared" si="34"/>
        <v>50</v>
      </c>
    </row>
    <row r="133" spans="1:39" x14ac:dyDescent="0.25">
      <c r="A133" t="s">
        <v>43</v>
      </c>
      <c r="B133">
        <v>15</v>
      </c>
      <c r="C133">
        <v>20</v>
      </c>
      <c r="D133">
        <v>665</v>
      </c>
      <c r="E133">
        <v>670</v>
      </c>
      <c r="F133">
        <v>9615</v>
      </c>
      <c r="G133">
        <v>9740</v>
      </c>
      <c r="H133">
        <v>2.5</v>
      </c>
      <c r="I133" s="4">
        <f t="shared" si="31"/>
        <v>15</v>
      </c>
      <c r="J133" s="1">
        <v>3</v>
      </c>
      <c r="K133" s="3">
        <v>1</v>
      </c>
      <c r="L133" s="2">
        <v>0</v>
      </c>
      <c r="M133" s="1">
        <v>3</v>
      </c>
      <c r="N133" s="3">
        <v>0</v>
      </c>
      <c r="O133" s="2">
        <v>0</v>
      </c>
      <c r="P133" s="1">
        <v>2</v>
      </c>
      <c r="Q133" s="3">
        <v>0</v>
      </c>
      <c r="R133" s="2">
        <v>0</v>
      </c>
      <c r="S133" s="1">
        <v>1</v>
      </c>
      <c r="T133" s="3">
        <v>0</v>
      </c>
      <c r="U133" s="2">
        <v>0</v>
      </c>
      <c r="V133" s="1">
        <v>0</v>
      </c>
      <c r="W133" s="3">
        <v>0</v>
      </c>
      <c r="X133" s="2">
        <v>0</v>
      </c>
      <c r="Y133" s="1">
        <v>0</v>
      </c>
      <c r="Z133" s="3">
        <v>0</v>
      </c>
      <c r="AA133" s="2">
        <v>0</v>
      </c>
      <c r="AB133" s="1">
        <v>1</v>
      </c>
      <c r="AC133" s="3">
        <v>1</v>
      </c>
      <c r="AD133" s="2">
        <v>3</v>
      </c>
      <c r="AE133">
        <f t="shared" si="25"/>
        <v>10</v>
      </c>
      <c r="AF133">
        <f t="shared" si="29"/>
        <v>2</v>
      </c>
      <c r="AG133">
        <f t="shared" si="30"/>
        <v>3</v>
      </c>
      <c r="AH133">
        <f t="shared" si="26"/>
        <v>3</v>
      </c>
      <c r="AI133">
        <f t="shared" si="27"/>
        <v>5</v>
      </c>
      <c r="AJ133">
        <f t="shared" si="28"/>
        <v>7</v>
      </c>
      <c r="AK133">
        <f t="shared" si="32"/>
        <v>66.666666666666657</v>
      </c>
      <c r="AL133">
        <f t="shared" si="33"/>
        <v>13.333333333333334</v>
      </c>
      <c r="AM133">
        <f t="shared" si="34"/>
        <v>20</v>
      </c>
    </row>
    <row r="134" spans="1:39" x14ac:dyDescent="0.25">
      <c r="A134" t="s">
        <v>43</v>
      </c>
      <c r="B134">
        <v>20</v>
      </c>
      <c r="C134">
        <v>25</v>
      </c>
      <c r="D134">
        <v>670</v>
      </c>
      <c r="E134">
        <v>675</v>
      </c>
      <c r="F134">
        <v>9740</v>
      </c>
      <c r="G134">
        <v>9850</v>
      </c>
      <c r="H134">
        <v>2.5</v>
      </c>
      <c r="I134" s="4">
        <f t="shared" si="31"/>
        <v>8</v>
      </c>
      <c r="J134" s="1">
        <v>0</v>
      </c>
      <c r="K134" s="3">
        <v>0</v>
      </c>
      <c r="L134" s="2">
        <v>0</v>
      </c>
      <c r="M134" s="1">
        <v>2</v>
      </c>
      <c r="N134" s="3">
        <v>0</v>
      </c>
      <c r="O134" s="2">
        <v>0</v>
      </c>
      <c r="P134" s="1">
        <v>1</v>
      </c>
      <c r="Q134" s="3">
        <v>0</v>
      </c>
      <c r="R134" s="2">
        <v>0</v>
      </c>
      <c r="S134" s="1">
        <v>0</v>
      </c>
      <c r="T134" s="3">
        <v>0</v>
      </c>
      <c r="U134" s="2">
        <v>2</v>
      </c>
      <c r="V134" s="1">
        <v>0</v>
      </c>
      <c r="W134" s="3">
        <v>0</v>
      </c>
      <c r="X134" s="2">
        <v>1</v>
      </c>
      <c r="Y134" s="1">
        <v>0</v>
      </c>
      <c r="Z134" s="3">
        <v>0</v>
      </c>
      <c r="AA134" s="2">
        <v>0</v>
      </c>
      <c r="AB134" s="1">
        <v>1</v>
      </c>
      <c r="AC134" s="3">
        <v>0</v>
      </c>
      <c r="AD134" s="2">
        <v>1</v>
      </c>
      <c r="AE134">
        <f t="shared" si="25"/>
        <v>4</v>
      </c>
      <c r="AF134">
        <f t="shared" si="29"/>
        <v>0</v>
      </c>
      <c r="AG134">
        <f t="shared" si="30"/>
        <v>4</v>
      </c>
      <c r="AH134">
        <f t="shared" si="26"/>
        <v>4</v>
      </c>
      <c r="AI134">
        <f t="shared" si="27"/>
        <v>2</v>
      </c>
      <c r="AJ134">
        <f t="shared" si="28"/>
        <v>2</v>
      </c>
      <c r="AK134">
        <f t="shared" si="32"/>
        <v>50</v>
      </c>
      <c r="AL134">
        <f t="shared" si="33"/>
        <v>0</v>
      </c>
      <c r="AM134">
        <f t="shared" si="34"/>
        <v>50</v>
      </c>
    </row>
    <row r="135" spans="1:39" x14ac:dyDescent="0.25">
      <c r="A135" t="s">
        <v>43</v>
      </c>
      <c r="B135">
        <v>25</v>
      </c>
      <c r="C135">
        <v>30</v>
      </c>
      <c r="D135">
        <v>675</v>
      </c>
      <c r="E135">
        <v>680</v>
      </c>
      <c r="F135">
        <v>9850</v>
      </c>
      <c r="G135">
        <v>9954</v>
      </c>
      <c r="H135">
        <v>2.5</v>
      </c>
      <c r="I135" s="4">
        <f t="shared" si="31"/>
        <v>4</v>
      </c>
      <c r="J135" s="1">
        <v>2</v>
      </c>
      <c r="K135" s="3">
        <v>0</v>
      </c>
      <c r="L135" s="2">
        <v>0</v>
      </c>
      <c r="M135" s="1">
        <v>0</v>
      </c>
      <c r="N135" s="3">
        <v>0</v>
      </c>
      <c r="O135" s="2">
        <v>0</v>
      </c>
      <c r="P135" s="1">
        <v>0</v>
      </c>
      <c r="Q135" s="3">
        <v>0</v>
      </c>
      <c r="R135" s="2">
        <v>0</v>
      </c>
      <c r="S135" s="1">
        <v>0</v>
      </c>
      <c r="T135" s="3">
        <v>0</v>
      </c>
      <c r="U135" s="2">
        <v>0</v>
      </c>
      <c r="V135" s="1">
        <v>0</v>
      </c>
      <c r="W135" s="3">
        <v>0</v>
      </c>
      <c r="X135" s="2">
        <v>0</v>
      </c>
      <c r="Y135" s="1">
        <v>0</v>
      </c>
      <c r="Z135" s="3">
        <v>0</v>
      </c>
      <c r="AA135" s="2">
        <v>0</v>
      </c>
      <c r="AB135" s="1">
        <v>1</v>
      </c>
      <c r="AC135" s="3">
        <v>1</v>
      </c>
      <c r="AD135" s="2">
        <v>0</v>
      </c>
      <c r="AE135">
        <f t="shared" si="25"/>
        <v>3</v>
      </c>
      <c r="AF135">
        <f t="shared" si="29"/>
        <v>1</v>
      </c>
      <c r="AG135">
        <f t="shared" si="30"/>
        <v>0</v>
      </c>
      <c r="AH135">
        <f t="shared" si="26"/>
        <v>0</v>
      </c>
      <c r="AI135">
        <f t="shared" si="27"/>
        <v>2</v>
      </c>
      <c r="AJ135">
        <f t="shared" si="28"/>
        <v>2</v>
      </c>
      <c r="AK135">
        <f t="shared" si="32"/>
        <v>75</v>
      </c>
      <c r="AL135">
        <f t="shared" si="33"/>
        <v>25</v>
      </c>
      <c r="AM135">
        <f t="shared" si="34"/>
        <v>0</v>
      </c>
    </row>
    <row r="136" spans="1:39" x14ac:dyDescent="0.25">
      <c r="A136" t="s">
        <v>43</v>
      </c>
      <c r="B136">
        <v>30</v>
      </c>
      <c r="C136">
        <v>35</v>
      </c>
      <c r="D136">
        <v>680</v>
      </c>
      <c r="E136">
        <v>685</v>
      </c>
      <c r="F136">
        <v>9954</v>
      </c>
      <c r="G136">
        <v>10056</v>
      </c>
      <c r="H136">
        <v>2.5</v>
      </c>
      <c r="I136" s="4">
        <f t="shared" si="31"/>
        <v>12</v>
      </c>
      <c r="J136" s="1">
        <v>2</v>
      </c>
      <c r="K136" s="3">
        <v>0</v>
      </c>
      <c r="L136" s="2">
        <v>0</v>
      </c>
      <c r="M136" s="1">
        <v>1</v>
      </c>
      <c r="N136" s="3">
        <v>0</v>
      </c>
      <c r="O136" s="2">
        <v>0</v>
      </c>
      <c r="P136" s="1">
        <v>0</v>
      </c>
      <c r="Q136" s="3">
        <v>0</v>
      </c>
      <c r="R136" s="2">
        <v>0</v>
      </c>
      <c r="S136" s="1">
        <v>2</v>
      </c>
      <c r="T136" s="3">
        <v>1</v>
      </c>
      <c r="U136" s="2">
        <v>0</v>
      </c>
      <c r="V136" s="1">
        <v>0</v>
      </c>
      <c r="W136" s="3">
        <v>0</v>
      </c>
      <c r="X136" s="2">
        <v>0</v>
      </c>
      <c r="Y136" s="1">
        <v>0</v>
      </c>
      <c r="Z136" s="3">
        <v>0</v>
      </c>
      <c r="AA136" s="2">
        <v>0</v>
      </c>
      <c r="AB136" s="1">
        <v>1</v>
      </c>
      <c r="AC136" s="3">
        <v>1</v>
      </c>
      <c r="AD136" s="2">
        <v>4</v>
      </c>
      <c r="AE136">
        <f t="shared" si="25"/>
        <v>6</v>
      </c>
      <c r="AF136">
        <f t="shared" si="29"/>
        <v>2</v>
      </c>
      <c r="AG136">
        <f t="shared" si="30"/>
        <v>4</v>
      </c>
      <c r="AH136">
        <f t="shared" si="26"/>
        <v>3</v>
      </c>
      <c r="AI136">
        <f t="shared" si="27"/>
        <v>6</v>
      </c>
      <c r="AJ136">
        <f t="shared" si="28"/>
        <v>3</v>
      </c>
      <c r="AK136">
        <f t="shared" si="32"/>
        <v>50</v>
      </c>
      <c r="AL136">
        <f t="shared" si="33"/>
        <v>16.666666666666664</v>
      </c>
      <c r="AM136">
        <f t="shared" si="34"/>
        <v>33.333333333333329</v>
      </c>
    </row>
    <row r="137" spans="1:39" x14ac:dyDescent="0.25">
      <c r="A137" t="s">
        <v>43</v>
      </c>
      <c r="B137">
        <v>35</v>
      </c>
      <c r="C137">
        <v>40</v>
      </c>
      <c r="D137">
        <v>685</v>
      </c>
      <c r="E137">
        <v>690</v>
      </c>
      <c r="F137">
        <v>10056</v>
      </c>
      <c r="G137">
        <v>10173</v>
      </c>
      <c r="H137">
        <v>2.5</v>
      </c>
      <c r="I137" s="4">
        <f t="shared" si="31"/>
        <v>12</v>
      </c>
      <c r="J137" s="1">
        <v>5</v>
      </c>
      <c r="K137" s="3">
        <v>0</v>
      </c>
      <c r="L137" s="2">
        <v>0</v>
      </c>
      <c r="M137" s="1">
        <v>3</v>
      </c>
      <c r="N137" s="3">
        <v>2</v>
      </c>
      <c r="O137" s="2">
        <v>0</v>
      </c>
      <c r="P137" s="1">
        <v>1</v>
      </c>
      <c r="Q137" s="3">
        <v>0</v>
      </c>
      <c r="R137" s="2">
        <v>1</v>
      </c>
      <c r="S137" s="1">
        <v>0</v>
      </c>
      <c r="T137" s="3">
        <v>0</v>
      </c>
      <c r="U137" s="2">
        <v>0</v>
      </c>
      <c r="V137" s="1">
        <v>0</v>
      </c>
      <c r="W137" s="3">
        <v>0</v>
      </c>
      <c r="X137" s="2">
        <v>0</v>
      </c>
      <c r="Y137" s="1">
        <v>0</v>
      </c>
      <c r="Z137" s="3">
        <v>0</v>
      </c>
      <c r="AA137" s="2">
        <v>0</v>
      </c>
      <c r="AB137" s="1">
        <v>0</v>
      </c>
      <c r="AC137" s="3">
        <v>0</v>
      </c>
      <c r="AD137" s="2">
        <v>0</v>
      </c>
      <c r="AE137">
        <f t="shared" ref="AE137:AE147" si="35">SUM(J137,M137,P137,S137,V137,Y137,AB137)</f>
        <v>9</v>
      </c>
      <c r="AF137">
        <f t="shared" ref="AF137:AF147" si="36">SUM(K137,N137,Q137,T137,W137,Z137,AC137)</f>
        <v>2</v>
      </c>
      <c r="AG137">
        <f t="shared" ref="AG137:AG147" si="37">SUM(L137,O137,R137,U137,X137,AA137,AD137)</f>
        <v>1</v>
      </c>
      <c r="AH137">
        <f t="shared" ref="AH137:AH147" si="38">SUM(P137:X137)</f>
        <v>2</v>
      </c>
      <c r="AI137">
        <f t="shared" ref="AI137:AI147" si="39">SUM(Y137:AD137)</f>
        <v>0</v>
      </c>
      <c r="AJ137">
        <f t="shared" ref="AJ137:AJ147" si="40">SUM(J137:O137)</f>
        <v>10</v>
      </c>
      <c r="AK137">
        <f t="shared" si="32"/>
        <v>75</v>
      </c>
      <c r="AL137">
        <f t="shared" si="33"/>
        <v>16.666666666666664</v>
      </c>
      <c r="AM137">
        <f t="shared" si="34"/>
        <v>8.3333333333333321</v>
      </c>
    </row>
    <row r="138" spans="1:39" x14ac:dyDescent="0.25">
      <c r="A138" t="s">
        <v>43</v>
      </c>
      <c r="B138">
        <v>40</v>
      </c>
      <c r="C138">
        <v>45</v>
      </c>
      <c r="D138">
        <v>690</v>
      </c>
      <c r="E138">
        <v>695</v>
      </c>
      <c r="F138">
        <v>10173</v>
      </c>
      <c r="G138">
        <v>10293</v>
      </c>
      <c r="H138">
        <v>2.5</v>
      </c>
      <c r="I138" s="4">
        <f t="shared" si="31"/>
        <v>1</v>
      </c>
      <c r="J138" s="1">
        <v>0</v>
      </c>
      <c r="K138" s="3">
        <v>0</v>
      </c>
      <c r="L138" s="2">
        <v>0</v>
      </c>
      <c r="M138" s="1">
        <v>0</v>
      </c>
      <c r="N138" s="3">
        <v>0</v>
      </c>
      <c r="O138" s="2">
        <v>0</v>
      </c>
      <c r="P138" s="1">
        <v>0</v>
      </c>
      <c r="Q138" s="3">
        <v>0</v>
      </c>
      <c r="R138" s="2">
        <v>0</v>
      </c>
      <c r="S138" s="1">
        <v>0</v>
      </c>
      <c r="T138" s="3">
        <v>0</v>
      </c>
      <c r="U138" s="2">
        <v>0</v>
      </c>
      <c r="V138" s="1">
        <v>0</v>
      </c>
      <c r="W138" s="3">
        <v>0</v>
      </c>
      <c r="X138" s="2">
        <v>0</v>
      </c>
      <c r="Y138" s="1">
        <v>0</v>
      </c>
      <c r="Z138" s="3">
        <v>0</v>
      </c>
      <c r="AA138" s="2">
        <v>0</v>
      </c>
      <c r="AB138" s="1">
        <v>1</v>
      </c>
      <c r="AC138" s="3">
        <v>0</v>
      </c>
      <c r="AD138" s="2">
        <v>0</v>
      </c>
      <c r="AE138">
        <f t="shared" si="35"/>
        <v>1</v>
      </c>
      <c r="AF138">
        <f t="shared" si="36"/>
        <v>0</v>
      </c>
      <c r="AG138">
        <f t="shared" si="37"/>
        <v>0</v>
      </c>
      <c r="AH138">
        <f t="shared" si="38"/>
        <v>0</v>
      </c>
      <c r="AI138">
        <f t="shared" si="39"/>
        <v>1</v>
      </c>
      <c r="AJ138">
        <f t="shared" si="40"/>
        <v>0</v>
      </c>
      <c r="AK138">
        <f t="shared" si="32"/>
        <v>100</v>
      </c>
      <c r="AL138">
        <f t="shared" si="33"/>
        <v>0</v>
      </c>
      <c r="AM138">
        <f t="shared" si="34"/>
        <v>0</v>
      </c>
    </row>
    <row r="139" spans="1:39" x14ac:dyDescent="0.25">
      <c r="A139" t="s">
        <v>43</v>
      </c>
      <c r="B139">
        <v>45</v>
      </c>
      <c r="C139">
        <v>50</v>
      </c>
      <c r="D139">
        <v>695</v>
      </c>
      <c r="E139">
        <v>700</v>
      </c>
      <c r="F139">
        <v>10293</v>
      </c>
      <c r="G139">
        <v>10408</v>
      </c>
      <c r="H139">
        <v>2.5</v>
      </c>
      <c r="I139" s="4">
        <f t="shared" si="31"/>
        <v>15</v>
      </c>
      <c r="J139" s="1">
        <v>2</v>
      </c>
      <c r="K139" s="3">
        <v>2</v>
      </c>
      <c r="L139" s="2">
        <v>1</v>
      </c>
      <c r="M139" s="1">
        <v>1</v>
      </c>
      <c r="N139" s="3">
        <v>0</v>
      </c>
      <c r="O139" s="2">
        <v>1</v>
      </c>
      <c r="P139" s="1">
        <v>0</v>
      </c>
      <c r="Q139" s="3">
        <v>0</v>
      </c>
      <c r="R139" s="2">
        <v>0</v>
      </c>
      <c r="S139" s="1">
        <v>0</v>
      </c>
      <c r="T139" s="3">
        <v>0</v>
      </c>
      <c r="U139" s="2">
        <v>1</v>
      </c>
      <c r="V139" s="1">
        <v>1</v>
      </c>
      <c r="W139" s="3">
        <v>0</v>
      </c>
      <c r="X139" s="2">
        <v>0</v>
      </c>
      <c r="Y139" s="1">
        <v>0</v>
      </c>
      <c r="Z139" s="3">
        <v>0</v>
      </c>
      <c r="AA139" s="2">
        <v>0</v>
      </c>
      <c r="AB139" s="1">
        <v>2</v>
      </c>
      <c r="AC139" s="3">
        <v>1</v>
      </c>
      <c r="AD139" s="2">
        <v>3</v>
      </c>
      <c r="AE139">
        <f t="shared" si="35"/>
        <v>6</v>
      </c>
      <c r="AF139">
        <f t="shared" si="36"/>
        <v>3</v>
      </c>
      <c r="AG139">
        <f t="shared" si="37"/>
        <v>6</v>
      </c>
      <c r="AH139">
        <f t="shared" si="38"/>
        <v>2</v>
      </c>
      <c r="AI139">
        <f t="shared" si="39"/>
        <v>6</v>
      </c>
      <c r="AJ139">
        <f t="shared" si="40"/>
        <v>7</v>
      </c>
      <c r="AK139">
        <f t="shared" si="32"/>
        <v>40</v>
      </c>
      <c r="AL139">
        <f t="shared" si="33"/>
        <v>20</v>
      </c>
      <c r="AM139">
        <f t="shared" si="34"/>
        <v>40</v>
      </c>
    </row>
    <row r="140" spans="1:39" x14ac:dyDescent="0.25">
      <c r="A140" t="s">
        <v>43</v>
      </c>
      <c r="B140">
        <v>50</v>
      </c>
      <c r="C140">
        <v>55</v>
      </c>
      <c r="D140">
        <v>700</v>
      </c>
      <c r="E140">
        <v>705</v>
      </c>
      <c r="F140">
        <v>10408</v>
      </c>
      <c r="G140">
        <v>10503</v>
      </c>
      <c r="H140">
        <v>2.5</v>
      </c>
      <c r="I140" s="4">
        <f t="shared" si="31"/>
        <v>11</v>
      </c>
      <c r="J140" s="1">
        <v>1</v>
      </c>
      <c r="K140" s="3">
        <v>0</v>
      </c>
      <c r="L140" s="2">
        <v>0</v>
      </c>
      <c r="M140" s="1">
        <v>3</v>
      </c>
      <c r="N140" s="3">
        <v>0</v>
      </c>
      <c r="O140" s="2">
        <v>0</v>
      </c>
      <c r="P140" s="1">
        <v>0</v>
      </c>
      <c r="Q140" s="3">
        <v>0</v>
      </c>
      <c r="R140" s="2">
        <v>0</v>
      </c>
      <c r="S140" s="1">
        <v>0</v>
      </c>
      <c r="T140" s="3">
        <v>0</v>
      </c>
      <c r="U140" s="2">
        <v>1</v>
      </c>
      <c r="V140" s="1">
        <v>0</v>
      </c>
      <c r="W140" s="3">
        <v>0</v>
      </c>
      <c r="X140" s="2">
        <v>0</v>
      </c>
      <c r="Y140" s="1">
        <v>0</v>
      </c>
      <c r="Z140" s="3">
        <v>0</v>
      </c>
      <c r="AA140" s="2">
        <v>0</v>
      </c>
      <c r="AB140" s="1">
        <v>2</v>
      </c>
      <c r="AC140" s="3">
        <v>1</v>
      </c>
      <c r="AD140" s="2">
        <v>3</v>
      </c>
      <c r="AE140">
        <f t="shared" si="35"/>
        <v>6</v>
      </c>
      <c r="AF140">
        <f t="shared" si="36"/>
        <v>1</v>
      </c>
      <c r="AG140">
        <f t="shared" si="37"/>
        <v>4</v>
      </c>
      <c r="AH140">
        <f t="shared" si="38"/>
        <v>1</v>
      </c>
      <c r="AI140">
        <f t="shared" si="39"/>
        <v>6</v>
      </c>
      <c r="AJ140">
        <f t="shared" si="40"/>
        <v>4</v>
      </c>
      <c r="AK140">
        <f t="shared" si="32"/>
        <v>54.54545454545454</v>
      </c>
      <c r="AL140">
        <f t="shared" si="33"/>
        <v>9.0909090909090917</v>
      </c>
      <c r="AM140">
        <f t="shared" si="34"/>
        <v>36.363636363636367</v>
      </c>
    </row>
    <row r="141" spans="1:39" x14ac:dyDescent="0.25">
      <c r="A141" t="s">
        <v>43</v>
      </c>
      <c r="B141">
        <v>55</v>
      </c>
      <c r="C141">
        <v>60</v>
      </c>
      <c r="D141">
        <v>705</v>
      </c>
      <c r="E141">
        <v>710</v>
      </c>
      <c r="F141">
        <v>10503</v>
      </c>
      <c r="G141">
        <v>10608</v>
      </c>
      <c r="H141">
        <v>2.5</v>
      </c>
      <c r="I141" s="4">
        <f t="shared" si="31"/>
        <v>9</v>
      </c>
      <c r="J141" s="1">
        <v>0</v>
      </c>
      <c r="K141" s="3">
        <v>1</v>
      </c>
      <c r="L141" s="2">
        <v>0</v>
      </c>
      <c r="M141" s="1">
        <v>2</v>
      </c>
      <c r="N141" s="3">
        <v>0</v>
      </c>
      <c r="O141" s="2">
        <v>0</v>
      </c>
      <c r="P141" s="1">
        <v>0</v>
      </c>
      <c r="Q141" s="3">
        <v>0</v>
      </c>
      <c r="R141" s="2">
        <v>0</v>
      </c>
      <c r="S141" s="1">
        <v>0</v>
      </c>
      <c r="T141" s="3">
        <v>0</v>
      </c>
      <c r="U141" s="2">
        <v>0</v>
      </c>
      <c r="V141" s="1">
        <v>3</v>
      </c>
      <c r="W141" s="3">
        <v>0</v>
      </c>
      <c r="X141" s="2">
        <v>0</v>
      </c>
      <c r="Y141" s="1">
        <v>0</v>
      </c>
      <c r="Z141" s="3">
        <v>0</v>
      </c>
      <c r="AA141" s="2">
        <v>0</v>
      </c>
      <c r="AB141" s="1">
        <v>2</v>
      </c>
      <c r="AC141" s="3">
        <v>0</v>
      </c>
      <c r="AD141" s="2">
        <v>1</v>
      </c>
      <c r="AE141">
        <f t="shared" si="35"/>
        <v>7</v>
      </c>
      <c r="AF141">
        <f t="shared" si="36"/>
        <v>1</v>
      </c>
      <c r="AG141">
        <f t="shared" si="37"/>
        <v>1</v>
      </c>
      <c r="AH141">
        <f t="shared" si="38"/>
        <v>3</v>
      </c>
      <c r="AI141">
        <f t="shared" si="39"/>
        <v>3</v>
      </c>
      <c r="AJ141">
        <f t="shared" si="40"/>
        <v>3</v>
      </c>
      <c r="AK141">
        <f t="shared" si="32"/>
        <v>77.777777777777786</v>
      </c>
      <c r="AL141">
        <f t="shared" si="33"/>
        <v>11.111111111111111</v>
      </c>
      <c r="AM141">
        <f t="shared" si="34"/>
        <v>11.111111111111111</v>
      </c>
    </row>
    <row r="142" spans="1:39" x14ac:dyDescent="0.25">
      <c r="A142" t="s">
        <v>43</v>
      </c>
      <c r="B142">
        <v>60</v>
      </c>
      <c r="C142">
        <v>65</v>
      </c>
      <c r="D142">
        <v>710</v>
      </c>
      <c r="E142">
        <v>715</v>
      </c>
      <c r="F142">
        <v>10608</v>
      </c>
      <c r="G142">
        <v>10717</v>
      </c>
      <c r="H142">
        <v>2.5</v>
      </c>
      <c r="I142" s="4">
        <f t="shared" si="31"/>
        <v>9</v>
      </c>
      <c r="J142" s="1">
        <v>1</v>
      </c>
      <c r="K142" s="3">
        <v>0</v>
      </c>
      <c r="L142" s="2">
        <v>1</v>
      </c>
      <c r="M142" s="1">
        <v>3</v>
      </c>
      <c r="N142" s="3">
        <v>0</v>
      </c>
      <c r="O142" s="2">
        <v>0</v>
      </c>
      <c r="P142" s="1">
        <v>0</v>
      </c>
      <c r="Q142" s="3">
        <v>0</v>
      </c>
      <c r="R142" s="2">
        <v>0</v>
      </c>
      <c r="S142" s="1">
        <v>0</v>
      </c>
      <c r="T142" s="3">
        <v>0</v>
      </c>
      <c r="U142" s="2">
        <v>0</v>
      </c>
      <c r="V142" s="1">
        <v>0</v>
      </c>
      <c r="W142" s="3">
        <v>0</v>
      </c>
      <c r="X142" s="2">
        <v>0</v>
      </c>
      <c r="Y142" s="1">
        <v>0</v>
      </c>
      <c r="Z142" s="3">
        <v>0</v>
      </c>
      <c r="AA142" s="2">
        <v>0</v>
      </c>
      <c r="AB142" s="1">
        <v>2</v>
      </c>
      <c r="AC142" s="3">
        <v>2</v>
      </c>
      <c r="AD142" s="2">
        <v>0</v>
      </c>
      <c r="AE142">
        <f t="shared" si="35"/>
        <v>6</v>
      </c>
      <c r="AF142">
        <f t="shared" si="36"/>
        <v>2</v>
      </c>
      <c r="AG142">
        <f t="shared" si="37"/>
        <v>1</v>
      </c>
      <c r="AH142">
        <f t="shared" si="38"/>
        <v>0</v>
      </c>
      <c r="AI142">
        <f t="shared" si="39"/>
        <v>4</v>
      </c>
      <c r="AJ142">
        <f t="shared" si="40"/>
        <v>5</v>
      </c>
      <c r="AK142">
        <f t="shared" si="32"/>
        <v>66.666666666666657</v>
      </c>
      <c r="AL142">
        <f t="shared" si="33"/>
        <v>22.222222222222221</v>
      </c>
      <c r="AM142">
        <f t="shared" si="34"/>
        <v>11.111111111111111</v>
      </c>
    </row>
    <row r="143" spans="1:39" x14ac:dyDescent="0.25">
      <c r="A143" t="s">
        <v>43</v>
      </c>
      <c r="B143">
        <v>65</v>
      </c>
      <c r="C143">
        <v>70</v>
      </c>
      <c r="D143">
        <v>715</v>
      </c>
      <c r="E143">
        <v>720</v>
      </c>
      <c r="F143">
        <v>10717</v>
      </c>
      <c r="G143">
        <v>10827</v>
      </c>
      <c r="H143">
        <v>2.5</v>
      </c>
      <c r="I143" s="4">
        <f t="shared" si="31"/>
        <v>4</v>
      </c>
      <c r="J143" s="1">
        <v>0</v>
      </c>
      <c r="K143" s="3">
        <v>0</v>
      </c>
      <c r="L143" s="2">
        <v>0</v>
      </c>
      <c r="M143" s="1">
        <v>1</v>
      </c>
      <c r="N143" s="3">
        <v>0</v>
      </c>
      <c r="O143" s="2">
        <v>1</v>
      </c>
      <c r="P143" s="1">
        <v>0</v>
      </c>
      <c r="Q143" s="3">
        <v>0</v>
      </c>
      <c r="R143" s="2">
        <v>0</v>
      </c>
      <c r="S143" s="1">
        <v>0</v>
      </c>
      <c r="T143" s="3">
        <v>0</v>
      </c>
      <c r="U143" s="2">
        <v>0</v>
      </c>
      <c r="V143" s="1">
        <v>0</v>
      </c>
      <c r="W143" s="3">
        <v>0</v>
      </c>
      <c r="X143" s="2">
        <v>0</v>
      </c>
      <c r="Y143" s="1">
        <v>0</v>
      </c>
      <c r="Z143" s="3">
        <v>0</v>
      </c>
      <c r="AA143" s="2">
        <v>0</v>
      </c>
      <c r="AB143" s="1">
        <v>0</v>
      </c>
      <c r="AC143" s="3">
        <v>0</v>
      </c>
      <c r="AD143" s="2">
        <v>2</v>
      </c>
      <c r="AE143">
        <f t="shared" si="35"/>
        <v>1</v>
      </c>
      <c r="AF143">
        <f t="shared" si="36"/>
        <v>0</v>
      </c>
      <c r="AG143">
        <f t="shared" si="37"/>
        <v>3</v>
      </c>
      <c r="AH143">
        <f t="shared" si="38"/>
        <v>0</v>
      </c>
      <c r="AI143">
        <f t="shared" si="39"/>
        <v>2</v>
      </c>
      <c r="AJ143">
        <f t="shared" si="40"/>
        <v>2</v>
      </c>
      <c r="AK143">
        <f t="shared" si="32"/>
        <v>25</v>
      </c>
      <c r="AL143">
        <f t="shared" si="33"/>
        <v>0</v>
      </c>
      <c r="AM143">
        <f t="shared" si="34"/>
        <v>75</v>
      </c>
    </row>
    <row r="144" spans="1:39" x14ac:dyDescent="0.25">
      <c r="A144" t="s">
        <v>43</v>
      </c>
      <c r="B144">
        <v>70</v>
      </c>
      <c r="C144">
        <v>75</v>
      </c>
      <c r="D144">
        <v>720</v>
      </c>
      <c r="E144">
        <v>725</v>
      </c>
      <c r="F144">
        <v>10827</v>
      </c>
      <c r="G144">
        <v>10939</v>
      </c>
      <c r="H144">
        <v>2.5</v>
      </c>
      <c r="I144" s="4">
        <f t="shared" si="31"/>
        <v>11</v>
      </c>
      <c r="J144" s="1">
        <v>2</v>
      </c>
      <c r="K144" s="3">
        <v>0</v>
      </c>
      <c r="L144" s="2">
        <v>0</v>
      </c>
      <c r="M144" s="1">
        <v>1</v>
      </c>
      <c r="N144" s="3">
        <v>0</v>
      </c>
      <c r="O144" s="2">
        <v>0</v>
      </c>
      <c r="P144" s="1">
        <v>0</v>
      </c>
      <c r="Q144" s="3">
        <v>0</v>
      </c>
      <c r="R144" s="2">
        <v>0</v>
      </c>
      <c r="S144" s="1">
        <v>0</v>
      </c>
      <c r="T144" s="3">
        <v>1</v>
      </c>
      <c r="U144" s="2">
        <v>0</v>
      </c>
      <c r="V144" s="1">
        <v>0</v>
      </c>
      <c r="W144" s="3">
        <v>0</v>
      </c>
      <c r="X144" s="2">
        <v>0</v>
      </c>
      <c r="Y144" s="1">
        <v>0</v>
      </c>
      <c r="Z144" s="3">
        <v>0</v>
      </c>
      <c r="AA144" s="2">
        <v>1</v>
      </c>
      <c r="AB144" s="1">
        <v>0</v>
      </c>
      <c r="AC144" s="3">
        <v>2</v>
      </c>
      <c r="AD144" s="2">
        <v>4</v>
      </c>
      <c r="AE144">
        <f t="shared" si="35"/>
        <v>3</v>
      </c>
      <c r="AF144">
        <f t="shared" si="36"/>
        <v>3</v>
      </c>
      <c r="AG144">
        <f t="shared" si="37"/>
        <v>5</v>
      </c>
      <c r="AH144">
        <f t="shared" si="38"/>
        <v>1</v>
      </c>
      <c r="AI144">
        <f t="shared" si="39"/>
        <v>7</v>
      </c>
      <c r="AJ144">
        <f t="shared" si="40"/>
        <v>3</v>
      </c>
      <c r="AK144">
        <f t="shared" si="32"/>
        <v>27.27272727272727</v>
      </c>
      <c r="AL144">
        <f t="shared" si="33"/>
        <v>27.27272727272727</v>
      </c>
      <c r="AM144">
        <f t="shared" si="34"/>
        <v>45.454545454545453</v>
      </c>
    </row>
    <row r="145" spans="1:39" x14ac:dyDescent="0.25">
      <c r="A145" t="s">
        <v>43</v>
      </c>
      <c r="B145">
        <v>75</v>
      </c>
      <c r="C145">
        <v>80</v>
      </c>
      <c r="D145">
        <v>725</v>
      </c>
      <c r="E145">
        <v>730</v>
      </c>
      <c r="F145">
        <v>10939</v>
      </c>
      <c r="G145">
        <v>11059</v>
      </c>
      <c r="H145">
        <v>2.5</v>
      </c>
      <c r="I145" s="4">
        <f t="shared" si="31"/>
        <v>7</v>
      </c>
      <c r="J145" s="1">
        <v>1</v>
      </c>
      <c r="K145" s="3">
        <v>0</v>
      </c>
      <c r="L145" s="2">
        <v>0</v>
      </c>
      <c r="M145" s="1">
        <v>0</v>
      </c>
      <c r="N145" s="3">
        <v>0</v>
      </c>
      <c r="O145" s="2">
        <v>0</v>
      </c>
      <c r="P145" s="1">
        <v>0</v>
      </c>
      <c r="Q145" s="3">
        <v>0</v>
      </c>
      <c r="R145" s="2">
        <v>0</v>
      </c>
      <c r="S145" s="1">
        <v>0</v>
      </c>
      <c r="T145" s="3">
        <v>0</v>
      </c>
      <c r="U145" s="2">
        <v>0</v>
      </c>
      <c r="V145" s="1">
        <v>0</v>
      </c>
      <c r="W145" s="3">
        <v>0</v>
      </c>
      <c r="X145" s="2">
        <v>0</v>
      </c>
      <c r="Y145" s="1">
        <v>0</v>
      </c>
      <c r="Z145" s="3">
        <v>0</v>
      </c>
      <c r="AA145" s="2">
        <v>0</v>
      </c>
      <c r="AB145" s="1">
        <v>1</v>
      </c>
      <c r="AC145" s="3">
        <v>0</v>
      </c>
      <c r="AD145" s="2">
        <v>5</v>
      </c>
      <c r="AE145">
        <f t="shared" si="35"/>
        <v>2</v>
      </c>
      <c r="AF145">
        <f t="shared" si="36"/>
        <v>0</v>
      </c>
      <c r="AG145">
        <f t="shared" si="37"/>
        <v>5</v>
      </c>
      <c r="AH145">
        <f t="shared" si="38"/>
        <v>0</v>
      </c>
      <c r="AI145">
        <f t="shared" si="39"/>
        <v>6</v>
      </c>
      <c r="AJ145">
        <f t="shared" si="40"/>
        <v>1</v>
      </c>
      <c r="AK145">
        <f t="shared" si="32"/>
        <v>28.571428571428569</v>
      </c>
      <c r="AL145">
        <f t="shared" si="33"/>
        <v>0</v>
      </c>
      <c r="AM145">
        <f t="shared" si="34"/>
        <v>71.428571428571431</v>
      </c>
    </row>
    <row r="146" spans="1:39" x14ac:dyDescent="0.25">
      <c r="A146" t="s">
        <v>43</v>
      </c>
      <c r="B146">
        <v>80</v>
      </c>
      <c r="C146">
        <v>85</v>
      </c>
      <c r="D146">
        <v>730</v>
      </c>
      <c r="E146">
        <v>735</v>
      </c>
      <c r="F146">
        <v>11059</v>
      </c>
      <c r="G146">
        <v>11173</v>
      </c>
      <c r="H146">
        <v>2.5</v>
      </c>
      <c r="I146" s="4">
        <f t="shared" si="31"/>
        <v>35</v>
      </c>
      <c r="J146" s="1">
        <v>0</v>
      </c>
      <c r="K146" s="3">
        <v>0</v>
      </c>
      <c r="L146" s="2">
        <v>0</v>
      </c>
      <c r="M146" s="1">
        <v>0</v>
      </c>
      <c r="N146" s="3">
        <v>0</v>
      </c>
      <c r="O146" s="2">
        <v>0</v>
      </c>
      <c r="P146" s="1">
        <v>0</v>
      </c>
      <c r="Q146" s="3">
        <v>0</v>
      </c>
      <c r="R146" s="2">
        <v>1</v>
      </c>
      <c r="S146" s="1">
        <v>0</v>
      </c>
      <c r="T146" s="3">
        <v>0</v>
      </c>
      <c r="U146" s="2">
        <v>0</v>
      </c>
      <c r="V146" s="1">
        <v>0</v>
      </c>
      <c r="W146" s="3">
        <v>0</v>
      </c>
      <c r="X146" s="2">
        <v>0</v>
      </c>
      <c r="Y146" s="1">
        <v>1</v>
      </c>
      <c r="Z146" s="3">
        <v>0</v>
      </c>
      <c r="AA146" s="2">
        <v>0</v>
      </c>
      <c r="AB146" s="1">
        <v>17</v>
      </c>
      <c r="AC146" s="3">
        <v>4</v>
      </c>
      <c r="AD146" s="2">
        <v>12</v>
      </c>
      <c r="AE146">
        <f t="shared" si="35"/>
        <v>18</v>
      </c>
      <c r="AF146">
        <f t="shared" si="36"/>
        <v>4</v>
      </c>
      <c r="AG146">
        <f t="shared" si="37"/>
        <v>13</v>
      </c>
      <c r="AH146">
        <f t="shared" si="38"/>
        <v>1</v>
      </c>
      <c r="AI146">
        <f t="shared" si="39"/>
        <v>34</v>
      </c>
      <c r="AJ146">
        <f t="shared" si="40"/>
        <v>0</v>
      </c>
      <c r="AK146">
        <f t="shared" si="32"/>
        <v>51.428571428571423</v>
      </c>
      <c r="AL146">
        <f t="shared" si="33"/>
        <v>11.428571428571429</v>
      </c>
      <c r="AM146">
        <f t="shared" si="34"/>
        <v>37.142857142857146</v>
      </c>
    </row>
    <row r="147" spans="1:39" ht="15.75" thickBot="1" x14ac:dyDescent="0.3">
      <c r="A147" t="s">
        <v>43</v>
      </c>
      <c r="B147">
        <v>85</v>
      </c>
      <c r="C147">
        <v>90</v>
      </c>
      <c r="D147">
        <v>735</v>
      </c>
      <c r="E147">
        <v>740</v>
      </c>
      <c r="F147">
        <v>11173</v>
      </c>
      <c r="G147">
        <v>11274</v>
      </c>
      <c r="H147">
        <v>2.5</v>
      </c>
      <c r="I147" s="4">
        <f t="shared" si="31"/>
        <v>22</v>
      </c>
      <c r="J147" s="13">
        <v>3</v>
      </c>
      <c r="K147" s="14">
        <v>0</v>
      </c>
      <c r="L147" s="15">
        <v>0</v>
      </c>
      <c r="M147" s="13">
        <v>0</v>
      </c>
      <c r="N147" s="14">
        <v>0</v>
      </c>
      <c r="O147" s="15">
        <v>0</v>
      </c>
      <c r="P147" s="13">
        <v>0</v>
      </c>
      <c r="Q147" s="14">
        <v>0</v>
      </c>
      <c r="R147" s="15">
        <v>0</v>
      </c>
      <c r="S147" s="13">
        <v>0</v>
      </c>
      <c r="T147" s="14">
        <v>0</v>
      </c>
      <c r="U147" s="15">
        <v>0</v>
      </c>
      <c r="V147" s="13">
        <v>0</v>
      </c>
      <c r="W147" s="14">
        <v>0</v>
      </c>
      <c r="X147" s="15">
        <v>1</v>
      </c>
      <c r="Y147" s="13">
        <v>0</v>
      </c>
      <c r="Z147" s="14">
        <v>0</v>
      </c>
      <c r="AA147" s="15">
        <v>0</v>
      </c>
      <c r="AB147" s="13">
        <v>6</v>
      </c>
      <c r="AC147" s="14">
        <v>5</v>
      </c>
      <c r="AD147" s="15">
        <v>7</v>
      </c>
      <c r="AE147">
        <f t="shared" si="35"/>
        <v>9</v>
      </c>
      <c r="AF147">
        <f t="shared" si="36"/>
        <v>5</v>
      </c>
      <c r="AG147">
        <f t="shared" si="37"/>
        <v>8</v>
      </c>
      <c r="AH147">
        <f t="shared" si="38"/>
        <v>1</v>
      </c>
      <c r="AI147">
        <f t="shared" si="39"/>
        <v>18</v>
      </c>
      <c r="AJ147">
        <f t="shared" si="40"/>
        <v>3</v>
      </c>
      <c r="AK147">
        <f t="shared" si="32"/>
        <v>40.909090909090914</v>
      </c>
      <c r="AL147">
        <f t="shared" si="33"/>
        <v>22.727272727272727</v>
      </c>
      <c r="AM147">
        <f t="shared" si="34"/>
        <v>36.363636363636367</v>
      </c>
    </row>
    <row r="148" spans="1:39" s="21" customFormat="1" x14ac:dyDescent="0.25">
      <c r="A148" s="21" t="s">
        <v>64</v>
      </c>
      <c r="B148" s="21">
        <v>2.5</v>
      </c>
      <c r="C148" s="21">
        <v>5</v>
      </c>
      <c r="D148" s="21">
        <v>750</v>
      </c>
      <c r="E148" s="21">
        <v>752.5</v>
      </c>
      <c r="F148" s="21">
        <v>11537</v>
      </c>
      <c r="G148" s="21">
        <v>11605</v>
      </c>
      <c r="H148" s="21">
        <v>1.25</v>
      </c>
      <c r="I148" s="21">
        <v>6</v>
      </c>
      <c r="J148" s="22"/>
      <c r="K148" s="22"/>
      <c r="L148" s="22"/>
      <c r="M148" s="22"/>
      <c r="N148" s="22"/>
      <c r="O148" s="22"/>
      <c r="AK148">
        <f t="shared" si="32"/>
        <v>0</v>
      </c>
      <c r="AL148">
        <f t="shared" si="33"/>
        <v>0</v>
      </c>
      <c r="AM148">
        <f t="shared" si="34"/>
        <v>0</v>
      </c>
    </row>
    <row r="149" spans="1:39" x14ac:dyDescent="0.25">
      <c r="A149" t="s">
        <v>64</v>
      </c>
      <c r="B149">
        <v>5</v>
      </c>
      <c r="C149">
        <v>10</v>
      </c>
      <c r="D149">
        <v>752.5</v>
      </c>
      <c r="E149">
        <v>757.5</v>
      </c>
      <c r="F149">
        <v>11605</v>
      </c>
      <c r="G149">
        <v>11739.5</v>
      </c>
      <c r="H149">
        <v>2.5</v>
      </c>
      <c r="I149" s="6">
        <v>1</v>
      </c>
      <c r="J149" s="6"/>
      <c r="K149" s="6"/>
      <c r="L149" s="6"/>
      <c r="M149" s="6"/>
      <c r="N149" s="6"/>
      <c r="O149" s="6"/>
      <c r="AK149">
        <f t="shared" si="32"/>
        <v>0</v>
      </c>
      <c r="AL149">
        <f t="shared" si="33"/>
        <v>0</v>
      </c>
      <c r="AM149">
        <f t="shared" si="34"/>
        <v>0</v>
      </c>
    </row>
    <row r="150" spans="1:39" x14ac:dyDescent="0.25">
      <c r="L150" s="12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Charcoal_EN21437-1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Glückler</dc:creator>
  <cp:lastModifiedBy>Hadia Malik</cp:lastModifiedBy>
  <dcterms:created xsi:type="dcterms:W3CDTF">2023-10-03T02:50:46Z</dcterms:created>
  <dcterms:modified xsi:type="dcterms:W3CDTF">2025-04-09T12:02:38Z</dcterms:modified>
</cp:coreProperties>
</file>